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healthplansai-my.sharepoint.com/personal/poonam_chandra_healthplans_ai/Documents/Config/Config AI/provider-validation/data/"/>
    </mc:Choice>
  </mc:AlternateContent>
  <xr:revisionPtr revIDLastSave="12" documentId="11_5A0A4AECE04DA472B6CB367C3EEE8FEF5BEA21DD" xr6:coauthVersionLast="47" xr6:coauthVersionMax="47" xr10:uidLastSave="{6FCF6556-2688-4908-86B9-41BAACC3E6B0}"/>
  <bookViews>
    <workbookView xWindow="-110" yWindow="-110" windowWidth="25820" windowHeight="15500" firstSheet="2" activeTab="2" xr2:uid="{00000000-000D-0000-FFFF-FFFF00000000}"/>
  </bookViews>
  <sheets>
    <sheet name="Existing_Provider_Contracts" sheetId="1" r:id="rId1"/>
    <sheet name="Requested_Contract_Changes" sheetId="2" r:id="rId2"/>
    <sheet name="Validation_Rules" sheetId="3" r:id="rId3"/>
    <sheet name="Summary" sheetId="4" r:id="rId4"/>
    <sheet name="List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4" l="1"/>
  <c r="B8" i="4"/>
  <c r="B7" i="4"/>
  <c r="B6" i="4"/>
  <c r="B5" i="4"/>
  <c r="B4" i="4"/>
  <c r="B3" i="4"/>
</calcChain>
</file>

<file path=xl/sharedStrings.xml><?xml version="1.0" encoding="utf-8"?>
<sst xmlns="http://schemas.openxmlformats.org/spreadsheetml/2006/main" count="4072" uniqueCount="1209">
  <si>
    <t>provider_contract_id</t>
  </si>
  <si>
    <t>provider_id</t>
  </si>
  <si>
    <t>npi</t>
  </si>
  <si>
    <t>ptan</t>
  </si>
  <si>
    <t>individual_name</t>
  </si>
  <si>
    <t>provider_type</t>
  </si>
  <si>
    <t>primary_specialty</t>
  </si>
  <si>
    <t>secondary_specialty</t>
  </si>
  <si>
    <t>contract_status</t>
  </si>
  <si>
    <t>pecos_enrollment_status</t>
  </si>
  <si>
    <t>medicare_enrollment_form</t>
  </si>
  <si>
    <t>tax_id_or_ssn_key</t>
  </si>
  <si>
    <t>legal_business_name</t>
  </si>
  <si>
    <t>business_structure</t>
  </si>
  <si>
    <t>current_practice_location_name</t>
  </si>
  <si>
    <t>practice_address_line1</t>
  </si>
  <si>
    <t>practice_city</t>
  </si>
  <si>
    <t>practice_state</t>
  </si>
  <si>
    <t>practice_zip4</t>
  </si>
  <si>
    <t>correspondence_same_as_practice</t>
  </si>
  <si>
    <t>correspondence_address</t>
  </si>
  <si>
    <t>special_payment_address_type</t>
  </si>
  <si>
    <t>accepting_new_patients</t>
  </si>
  <si>
    <t>license_number</t>
  </si>
  <si>
    <t>license_state</t>
  </si>
  <si>
    <t>license_effective_date</t>
  </si>
  <si>
    <t>license_expiration_date</t>
  </si>
  <si>
    <t>dea_required</t>
  </si>
  <si>
    <t>dea_registration_status</t>
  </si>
  <si>
    <t>final_adverse_action_on_file</t>
  </si>
  <si>
    <t>sanction_screening_status</t>
  </si>
  <si>
    <t>reassignment_status</t>
  </si>
  <si>
    <t>reassigned_group_contract_id</t>
  </si>
  <si>
    <t>reassigned_group_npi</t>
  </si>
  <si>
    <t>billing_agency_on_file</t>
  </si>
  <si>
    <t>eft_on_file</t>
  </si>
  <si>
    <t>contract_effective_date</t>
  </si>
  <si>
    <t>contract_end_date</t>
  </si>
  <si>
    <t>last_revalidation_date</t>
  </si>
  <si>
    <t>next_revalidation_due</t>
  </si>
  <si>
    <t>source_of_truth_system</t>
  </si>
  <si>
    <t>source_rule_reference</t>
  </si>
  <si>
    <t>record_confidence</t>
  </si>
  <si>
    <t>PC-2026-00001</t>
  </si>
  <si>
    <t>PRV-10001</t>
  </si>
  <si>
    <t>1100000001</t>
  </si>
  <si>
    <t>P000001</t>
  </si>
  <si>
    <t>Dr. Jordan Garcia</t>
  </si>
  <si>
    <t>Individual Practitioner</t>
  </si>
  <si>
    <t>Family Practice</t>
  </si>
  <si>
    <t>Active</t>
  </si>
  <si>
    <t>Approved</t>
  </si>
  <si>
    <t>CMS-855I</t>
  </si>
  <si>
    <t>21-1000001</t>
  </si>
  <si>
    <t>Sole Proprietor</t>
  </si>
  <si>
    <t>Garcia Clinic Austin</t>
  </si>
  <si>
    <t>101 Market St Ste 101</t>
  </si>
  <si>
    <t>Austin</t>
  </si>
  <si>
    <t>TX</t>
  </si>
  <si>
    <t>78701-1001</t>
  </si>
  <si>
    <t>Yes</t>
  </si>
  <si>
    <t>Practice Location</t>
  </si>
  <si>
    <t>TX500001</t>
  </si>
  <si>
    <t>No</t>
  </si>
  <si>
    <t>Clear</t>
  </si>
  <si>
    <t>None</t>
  </si>
  <si>
    <t>Synthetic PECOS + Contract Admin</t>
  </si>
  <si>
    <t>Existing record: approved CMS-855I enrollment; change requests must use Form CMS-855I and validate NPI/PTAN/TIN/provider type.</t>
  </si>
  <si>
    <t>High</t>
  </si>
  <si>
    <t>PC-2026-00002</t>
  </si>
  <si>
    <t>PRV-10002</t>
  </si>
  <si>
    <t>1100000002</t>
  </si>
  <si>
    <t>P000002</t>
  </si>
  <si>
    <t>Dr. Taylor Kim</t>
  </si>
  <si>
    <t>Cardiology</t>
  </si>
  <si>
    <t>22-1000002</t>
  </si>
  <si>
    <t>Kim Clinic Tampa</t>
  </si>
  <si>
    <t>102 Market St Ste 102</t>
  </si>
  <si>
    <t>Tampa</t>
  </si>
  <si>
    <t>FL</t>
  </si>
  <si>
    <t>33602-1002</t>
  </si>
  <si>
    <t>FL500002</t>
  </si>
  <si>
    <t>PC-2026-00003</t>
  </si>
  <si>
    <t>PRV-10003</t>
  </si>
  <si>
    <t>1100000003</t>
  </si>
  <si>
    <t>P000003</t>
  </si>
  <si>
    <t>Dr. Morgan Chen</t>
  </si>
  <si>
    <t>Dermatology</t>
  </si>
  <si>
    <t>23-1000003</t>
  </si>
  <si>
    <t>Chen Professional Services LLC</t>
  </si>
  <si>
    <t>LLC</t>
  </si>
  <si>
    <t>Chen Clinic Albany</t>
  </si>
  <si>
    <t>103 Market St Ste 103</t>
  </si>
  <si>
    <t>Albany</t>
  </si>
  <si>
    <t>NY</t>
  </si>
  <si>
    <t>12207-1003</t>
  </si>
  <si>
    <t>NY500003</t>
  </si>
  <si>
    <t>PC-2026-00004</t>
  </si>
  <si>
    <t>PRV-10004</t>
  </si>
  <si>
    <t>1100000004</t>
  </si>
  <si>
    <t>P000004</t>
  </si>
  <si>
    <t>Dr. Riley Miller</t>
  </si>
  <si>
    <t>Neurology</t>
  </si>
  <si>
    <t>Clinical Psychologist</t>
  </si>
  <si>
    <t>24-1000004</t>
  </si>
  <si>
    <t>Miller Clinic Chicago</t>
  </si>
  <si>
    <t>104 Market St Ste 104</t>
  </si>
  <si>
    <t>Chicago</t>
  </si>
  <si>
    <t>IL</t>
  </si>
  <si>
    <t>60606-1004</t>
  </si>
  <si>
    <t>IL500004</t>
  </si>
  <si>
    <t>PC-2026-00005</t>
  </si>
  <si>
    <t>PRV-10005</t>
  </si>
  <si>
    <t>1100000005</t>
  </si>
  <si>
    <t>P000005</t>
  </si>
  <si>
    <t>Dr. Casey Anderson</t>
  </si>
  <si>
    <t>Psychiatry</t>
  </si>
  <si>
    <t>Suspended</t>
  </si>
  <si>
    <t>Deactivated</t>
  </si>
  <si>
    <t>25-1000005</t>
  </si>
  <si>
    <t>Anderson Clinic Phoenix</t>
  </si>
  <si>
    <t>105 Market St Ste 105</t>
  </si>
  <si>
    <t>Phoenix</t>
  </si>
  <si>
    <t>AZ</t>
  </si>
  <si>
    <t>85004-1005</t>
  </si>
  <si>
    <t>AZ500005</t>
  </si>
  <si>
    <t>Not Applicable</t>
  </si>
  <si>
    <t>Partial</t>
  </si>
  <si>
    <t>GC-3005</t>
  </si>
  <si>
    <t>2200000005</t>
  </si>
  <si>
    <t>PC-2026-00006</t>
  </si>
  <si>
    <t>PRV-10006</t>
  </si>
  <si>
    <t>1100000006</t>
  </si>
  <si>
    <t>P000006</t>
  </si>
  <si>
    <t>Dr. Cameron White</t>
  </si>
  <si>
    <t>Nurse Practitioner</t>
  </si>
  <si>
    <t>26-1000006</t>
  </si>
  <si>
    <t>White Professional Services LLC</t>
  </si>
  <si>
    <t>White Clinic Seattle</t>
  </si>
  <si>
    <t>106 Market St Ste 106</t>
  </si>
  <si>
    <t>Seattle</t>
  </si>
  <si>
    <t>WA</t>
  </si>
  <si>
    <t>98101-1006</t>
  </si>
  <si>
    <t>206 Admin Ave, Seattle, WA 98101-2006</t>
  </si>
  <si>
    <t>WA500006</t>
  </si>
  <si>
    <t>PC-2026-00007</t>
  </si>
  <si>
    <t>PRV-10007</t>
  </si>
  <si>
    <t>1100000007</t>
  </si>
  <si>
    <t>P000007</t>
  </si>
  <si>
    <t>Dr. Quinn Nguyen</t>
  </si>
  <si>
    <t>27-1000007</t>
  </si>
  <si>
    <t>Nguyen Clinic Atlanta</t>
  </si>
  <si>
    <t>107 Market St Ste 107</t>
  </si>
  <si>
    <t>Atlanta</t>
  </si>
  <si>
    <t>GA</t>
  </si>
  <si>
    <t>30303-1007</t>
  </si>
  <si>
    <t>GA500007</t>
  </si>
  <si>
    <t>Full</t>
  </si>
  <si>
    <t>GC-3007</t>
  </si>
  <si>
    <t>2200000007</t>
  </si>
  <si>
    <t>PC-2026-00008</t>
  </si>
  <si>
    <t>PRV-10008</t>
  </si>
  <si>
    <t>1100000008</t>
  </si>
  <si>
    <t>P000008</t>
  </si>
  <si>
    <t>Dr. Alex Brown</t>
  </si>
  <si>
    <t>Physical Therapist in Private Practice</t>
  </si>
  <si>
    <t>28-1000008</t>
  </si>
  <si>
    <t>Brown Clinic Charlotte</t>
  </si>
  <si>
    <t>108 Market St Ste 108</t>
  </si>
  <si>
    <t>Charlotte</t>
  </si>
  <si>
    <t>NC</t>
  </si>
  <si>
    <t>28202-1008</t>
  </si>
  <si>
    <t>P.O. Box</t>
  </si>
  <si>
    <t>NC500008</t>
  </si>
  <si>
    <t>PC-2026-00009</t>
  </si>
  <si>
    <t>PRV-10009</t>
  </si>
  <si>
    <t>1100000009</t>
  </si>
  <si>
    <t>P000009</t>
  </si>
  <si>
    <t>Dr. Jamie Singh</t>
  </si>
  <si>
    <t>Physician Assistant</t>
  </si>
  <si>
    <t>29-1000009</t>
  </si>
  <si>
    <t>Singh Professional Services LLC</t>
  </si>
  <si>
    <t>Singh Clinic Columbus</t>
  </si>
  <si>
    <t>109 Market St Ste 109</t>
  </si>
  <si>
    <t>Columbus</t>
  </si>
  <si>
    <t>OH</t>
  </si>
  <si>
    <t>43215-1009</t>
  </si>
  <si>
    <t>OH500009</t>
  </si>
  <si>
    <t>PC-2026-00010</t>
  </si>
  <si>
    <t>PRV-10010</t>
  </si>
  <si>
    <t>1100000010</t>
  </si>
  <si>
    <t>P000010</t>
  </si>
  <si>
    <t>Dr. Robin Lopez</t>
  </si>
  <si>
    <t>Internal Medicine</t>
  </si>
  <si>
    <t>30-1000010</t>
  </si>
  <si>
    <t>Lopez Clinic Los Angeles</t>
  </si>
  <si>
    <t>110 Market St Ste 110</t>
  </si>
  <si>
    <t>Los Angeles</t>
  </si>
  <si>
    <t>CA</t>
  </si>
  <si>
    <t>90017-1010</t>
  </si>
  <si>
    <t>CA500010</t>
  </si>
  <si>
    <t>GC-3010</t>
  </si>
  <si>
    <t>2200000010</t>
  </si>
  <si>
    <t>PC-2026-00011</t>
  </si>
  <si>
    <t>PRV-10011</t>
  </si>
  <si>
    <t>1100000011</t>
  </si>
  <si>
    <t>P000011</t>
  </si>
  <si>
    <t>Dr. Drew Wilson</t>
  </si>
  <si>
    <t>31-1000011</t>
  </si>
  <si>
    <t>Wilson Clinic Austin</t>
  </si>
  <si>
    <t>111 Market St Ste 111</t>
  </si>
  <si>
    <t>78701-1011</t>
  </si>
  <si>
    <t>TX500011</t>
  </si>
  <si>
    <t>PC-2026-00012</t>
  </si>
  <si>
    <t>PRV-10012</t>
  </si>
  <si>
    <t>1100000012</t>
  </si>
  <si>
    <t>P000012</t>
  </si>
  <si>
    <t>Dr. Reese Thomas</t>
  </si>
  <si>
    <t>32-1000012</t>
  </si>
  <si>
    <t>Thomas Professional Services LLC</t>
  </si>
  <si>
    <t>Thomas Clinic Tampa</t>
  </si>
  <si>
    <t>112 Market St Ste 112</t>
  </si>
  <si>
    <t>33602-1012</t>
  </si>
  <si>
    <t>212 Admin Ave, Tampa, FL 33602-2012</t>
  </si>
  <si>
    <t>FL500012</t>
  </si>
  <si>
    <t>PC-2026-00013</t>
  </si>
  <si>
    <t>PRV-10013</t>
  </si>
  <si>
    <t>1100000013</t>
  </si>
  <si>
    <t>P000013</t>
  </si>
  <si>
    <t>Dr. Parker Harris</t>
  </si>
  <si>
    <t>33-1000013</t>
  </si>
  <si>
    <t>Harris Clinic Albany</t>
  </si>
  <si>
    <t>113 Market St Ste 113</t>
  </si>
  <si>
    <t>12207-1013</t>
  </si>
  <si>
    <t>NY500013</t>
  </si>
  <si>
    <t>PC-2026-00014</t>
  </si>
  <si>
    <t>PRV-10014</t>
  </si>
  <si>
    <t>1100000014</t>
  </si>
  <si>
    <t>P000014</t>
  </si>
  <si>
    <t>Dr. Skyler Williams</t>
  </si>
  <si>
    <t>34-1000014</t>
  </si>
  <si>
    <t>Williams Clinic Chicago</t>
  </si>
  <si>
    <t>114 Market St Ste 114</t>
  </si>
  <si>
    <t>60606-1014</t>
  </si>
  <si>
    <t>IL500014</t>
  </si>
  <si>
    <t>GC-3002</t>
  </si>
  <si>
    <t>2200000002</t>
  </si>
  <si>
    <t>PC-2026-00015</t>
  </si>
  <si>
    <t>PRV-10015</t>
  </si>
  <si>
    <t>1100000015</t>
  </si>
  <si>
    <t>P000015</t>
  </si>
  <si>
    <t>Dr. Emerson Johnson</t>
  </si>
  <si>
    <t>35-1000015</t>
  </si>
  <si>
    <t>Johnson Professional Services LLC</t>
  </si>
  <si>
    <t>Johnson Clinic Phoenix</t>
  </si>
  <si>
    <t>115 Market St Ste 115</t>
  </si>
  <si>
    <t>85004-1015</t>
  </si>
  <si>
    <t>AZ500015</t>
  </si>
  <si>
    <t>GC-3003</t>
  </si>
  <si>
    <t>2200000003</t>
  </si>
  <si>
    <t>PC-2026-00016</t>
  </si>
  <si>
    <t>PRV-10016</t>
  </si>
  <si>
    <t>1100000016</t>
  </si>
  <si>
    <t>P000016</t>
  </si>
  <si>
    <t>Dr. Hayden Martinez</t>
  </si>
  <si>
    <t>36-1000016</t>
  </si>
  <si>
    <t>Martinez Clinic Seattle</t>
  </si>
  <si>
    <t>116 Market St Ste 116</t>
  </si>
  <si>
    <t>98101-1016</t>
  </si>
  <si>
    <t>WA500016</t>
  </si>
  <si>
    <t>PC-2026-00017</t>
  </si>
  <si>
    <t>PRV-10017</t>
  </si>
  <si>
    <t>1100000017</t>
  </si>
  <si>
    <t>P000017</t>
  </si>
  <si>
    <t>Dr. Rowan Davis</t>
  </si>
  <si>
    <t>37-1000017</t>
  </si>
  <si>
    <t>Davis Clinic Atlanta</t>
  </si>
  <si>
    <t>117 Market St Ste 117</t>
  </si>
  <si>
    <t>30303-1017</t>
  </si>
  <si>
    <t>GA500017</t>
  </si>
  <si>
    <t>PC-2026-00018</t>
  </si>
  <si>
    <t>PRV-10018</t>
  </si>
  <si>
    <t>1100000018</t>
  </si>
  <si>
    <t>P000018</t>
  </si>
  <si>
    <t>Dr. Blair Moore</t>
  </si>
  <si>
    <t>38-1000018</t>
  </si>
  <si>
    <t>Moore Professional Services LLC</t>
  </si>
  <si>
    <t>Moore Clinic Charlotte</t>
  </si>
  <si>
    <t>118 Market St Ste 118</t>
  </si>
  <si>
    <t>28202-1018</t>
  </si>
  <si>
    <t>218 Admin Ave, Charlotte, NC 28202-2018</t>
  </si>
  <si>
    <t>NC500018</t>
  </si>
  <si>
    <t>PC-2026-00019</t>
  </si>
  <si>
    <t>PRV-10019</t>
  </si>
  <si>
    <t>1100000019</t>
  </si>
  <si>
    <t>P000019</t>
  </si>
  <si>
    <t>Dr. Sage Jackson</t>
  </si>
  <si>
    <t>39-1000019</t>
  </si>
  <si>
    <t>Jackson Clinic Columbus</t>
  </si>
  <si>
    <t>119 Market St Ste 119</t>
  </si>
  <si>
    <t>43215-1019</t>
  </si>
  <si>
    <t>OH500019</t>
  </si>
  <si>
    <t>PC-2026-00020</t>
  </si>
  <si>
    <t>PRV-10020</t>
  </si>
  <si>
    <t>1100000020</t>
  </si>
  <si>
    <t>P000020</t>
  </si>
  <si>
    <t>Dr. Avery Patel</t>
  </si>
  <si>
    <t>40-1000020</t>
  </si>
  <si>
    <t>Patel Clinic Los Angeles</t>
  </si>
  <si>
    <t>120 Market St Ste 120</t>
  </si>
  <si>
    <t>90017-1020</t>
  </si>
  <si>
    <t>CA500020</t>
  </si>
  <si>
    <t>GC-3008</t>
  </si>
  <si>
    <t>2200000008</t>
  </si>
  <si>
    <t>PC-2026-00021</t>
  </si>
  <si>
    <t>PRV-10021</t>
  </si>
  <si>
    <t>1100000021</t>
  </si>
  <si>
    <t>P000021</t>
  </si>
  <si>
    <t>41-1000021</t>
  </si>
  <si>
    <t>Garcia Professional Services LLC</t>
  </si>
  <si>
    <t>121 Market St Ste 121</t>
  </si>
  <si>
    <t>78701-1021</t>
  </si>
  <si>
    <t>TX500021</t>
  </si>
  <si>
    <t>GC-3009</t>
  </si>
  <si>
    <t>2200000009</t>
  </si>
  <si>
    <t>PC-2026-00022</t>
  </si>
  <si>
    <t>PRV-10022</t>
  </si>
  <si>
    <t>1100000022</t>
  </si>
  <si>
    <t>P000022</t>
  </si>
  <si>
    <t>42-1000022</t>
  </si>
  <si>
    <t>122 Market St Ste 122</t>
  </si>
  <si>
    <t>33602-1022</t>
  </si>
  <si>
    <t>FL500022</t>
  </si>
  <si>
    <t>PC-2026-00023</t>
  </si>
  <si>
    <t>PRV-10023</t>
  </si>
  <si>
    <t>1100000023</t>
  </si>
  <si>
    <t>P000023</t>
  </si>
  <si>
    <t>43-1000023</t>
  </si>
  <si>
    <t>123 Market St Ste 123</t>
  </si>
  <si>
    <t>12207-1023</t>
  </si>
  <si>
    <t>NY500023</t>
  </si>
  <si>
    <t>PC-2026-00024</t>
  </si>
  <si>
    <t>PRV-10024</t>
  </si>
  <si>
    <t>1100000024</t>
  </si>
  <si>
    <t>P000024</t>
  </si>
  <si>
    <t>44-1000024</t>
  </si>
  <si>
    <t>Miller Professional Services LLC</t>
  </si>
  <si>
    <t>124 Market St Ste 124</t>
  </si>
  <si>
    <t>60606-1024</t>
  </si>
  <si>
    <t>224 Admin Ave, Chicago, IL 60606-2024</t>
  </si>
  <si>
    <t>IL500024</t>
  </si>
  <si>
    <t>PC-2026-00025</t>
  </si>
  <si>
    <t>PRV-10025</t>
  </si>
  <si>
    <t>1100000025</t>
  </si>
  <si>
    <t>P000025</t>
  </si>
  <si>
    <t>45-1000025</t>
  </si>
  <si>
    <t>125 Market St Ste 125</t>
  </si>
  <si>
    <t>85004-1025</t>
  </si>
  <si>
    <t>AZ500025</t>
  </si>
  <si>
    <t>GC-3001</t>
  </si>
  <si>
    <t>2200000001</t>
  </si>
  <si>
    <t>PC-2026-00026</t>
  </si>
  <si>
    <t>PRV-10026</t>
  </si>
  <si>
    <t>1100000026</t>
  </si>
  <si>
    <t>P000026</t>
  </si>
  <si>
    <t>46-1000026</t>
  </si>
  <si>
    <t>126 Market St Ste 126</t>
  </si>
  <si>
    <t>98101-1026</t>
  </si>
  <si>
    <t>WA500026</t>
  </si>
  <si>
    <t>PC-2026-00027</t>
  </si>
  <si>
    <t>PRV-10027</t>
  </si>
  <si>
    <t>1100000027</t>
  </si>
  <si>
    <t>P000027</t>
  </si>
  <si>
    <t>47-1000027</t>
  </si>
  <si>
    <t>Nguyen Professional Services LLC</t>
  </si>
  <si>
    <t>127 Market St Ste 127</t>
  </si>
  <si>
    <t>30303-1027</t>
  </si>
  <si>
    <t>GA500027</t>
  </si>
  <si>
    <t>PC-2026-00028</t>
  </si>
  <si>
    <t>PRV-10028</t>
  </si>
  <si>
    <t>1100000028</t>
  </si>
  <si>
    <t>P000028</t>
  </si>
  <si>
    <t>48-1000028</t>
  </si>
  <si>
    <t>128 Market St Ste 128</t>
  </si>
  <si>
    <t>28202-1028</t>
  </si>
  <si>
    <t>NC500028</t>
  </si>
  <si>
    <t>GC-3004</t>
  </si>
  <si>
    <t>2200000004</t>
  </si>
  <si>
    <t>PC-2026-00029</t>
  </si>
  <si>
    <t>PRV-10029</t>
  </si>
  <si>
    <t>1100000029</t>
  </si>
  <si>
    <t>P000029</t>
  </si>
  <si>
    <t>49-1000029</t>
  </si>
  <si>
    <t>129 Market St Ste 129</t>
  </si>
  <si>
    <t>43215-1029</t>
  </si>
  <si>
    <t>OH500029</t>
  </si>
  <si>
    <t>PC-2026-00030</t>
  </si>
  <si>
    <t>PRV-10030</t>
  </si>
  <si>
    <t>1100000030</t>
  </si>
  <si>
    <t>P000030</t>
  </si>
  <si>
    <t>50-1000030</t>
  </si>
  <si>
    <t>Lopez Professional Services LLC</t>
  </si>
  <si>
    <t>130 Market St Ste 130</t>
  </si>
  <si>
    <t>90017-1030</t>
  </si>
  <si>
    <t>230 Admin Ave, Los Angeles, CA 90017-2030</t>
  </si>
  <si>
    <t>CA500030</t>
  </si>
  <si>
    <t>GC-3006</t>
  </si>
  <si>
    <t>2200000006</t>
  </si>
  <si>
    <t>PC-2026-00031</t>
  </si>
  <si>
    <t>PRV-10031</t>
  </si>
  <si>
    <t>1100000031</t>
  </si>
  <si>
    <t>P000031</t>
  </si>
  <si>
    <t>51-1000031</t>
  </si>
  <si>
    <t>131 Market St Ste 131</t>
  </si>
  <si>
    <t>78701-1031</t>
  </si>
  <si>
    <t>TX500031</t>
  </si>
  <si>
    <t>PC-2026-00032</t>
  </si>
  <si>
    <t>PRV-10032</t>
  </si>
  <si>
    <t>1100000032</t>
  </si>
  <si>
    <t>P000032</t>
  </si>
  <si>
    <t>52-1000032</t>
  </si>
  <si>
    <t>132 Market St Ste 132</t>
  </si>
  <si>
    <t>33602-1032</t>
  </si>
  <si>
    <t>FL500032</t>
  </si>
  <si>
    <t>PC-2026-00033</t>
  </si>
  <si>
    <t>PRV-10033</t>
  </si>
  <si>
    <t>1100000033</t>
  </si>
  <si>
    <t>P000033</t>
  </si>
  <si>
    <t>53-1000033</t>
  </si>
  <si>
    <t>Harris Professional Services LLC</t>
  </si>
  <si>
    <t>133 Market St Ste 133</t>
  </si>
  <si>
    <t>12207-1033</t>
  </si>
  <si>
    <t>NY500033</t>
  </si>
  <si>
    <t>PC-2026-00034</t>
  </si>
  <si>
    <t>PRV-10034</t>
  </si>
  <si>
    <t>1100000034</t>
  </si>
  <si>
    <t>P000034</t>
  </si>
  <si>
    <t>54-1000034</t>
  </si>
  <si>
    <t>134 Market St Ste 134</t>
  </si>
  <si>
    <t>60606-1034</t>
  </si>
  <si>
    <t>IL500034</t>
  </si>
  <si>
    <t>PC-2026-00035</t>
  </si>
  <si>
    <t>PRV-10035</t>
  </si>
  <si>
    <t>1100000035</t>
  </si>
  <si>
    <t>P000035</t>
  </si>
  <si>
    <t>55-1000035</t>
  </si>
  <si>
    <t>135 Market St Ste 135</t>
  </si>
  <si>
    <t>85004-1035</t>
  </si>
  <si>
    <t>AZ500035</t>
  </si>
  <si>
    <t>GC-3011</t>
  </si>
  <si>
    <t>2200000011</t>
  </si>
  <si>
    <t>PC-2026-00036</t>
  </si>
  <si>
    <t>PRV-10036</t>
  </si>
  <si>
    <t>1100000036</t>
  </si>
  <si>
    <t>P000036</t>
  </si>
  <si>
    <t>56-1000036</t>
  </si>
  <si>
    <t>Martinez Professional Services LLC</t>
  </si>
  <si>
    <t>136 Market St Ste 136</t>
  </si>
  <si>
    <t>98101-1036</t>
  </si>
  <si>
    <t>236 Admin Ave, Seattle, WA 98101-2036</t>
  </si>
  <si>
    <t>WA500036</t>
  </si>
  <si>
    <t>PC-2026-00037</t>
  </si>
  <si>
    <t>PRV-10037</t>
  </si>
  <si>
    <t>1100000037</t>
  </si>
  <si>
    <t>P000037</t>
  </si>
  <si>
    <t>57-1000037</t>
  </si>
  <si>
    <t>137 Market St Ste 137</t>
  </si>
  <si>
    <t>30303-1037</t>
  </si>
  <si>
    <t>GA500037</t>
  </si>
  <si>
    <t>PC-2026-00038</t>
  </si>
  <si>
    <t>PRV-10038</t>
  </si>
  <si>
    <t>1100000038</t>
  </si>
  <si>
    <t>P000038</t>
  </si>
  <si>
    <t>58-1000038</t>
  </si>
  <si>
    <t>138 Market St Ste 138</t>
  </si>
  <si>
    <t>28202-1038</t>
  </si>
  <si>
    <t>NC500038</t>
  </si>
  <si>
    <t>PC-2026-00039</t>
  </si>
  <si>
    <t>PRV-10039</t>
  </si>
  <si>
    <t>1100000039</t>
  </si>
  <si>
    <t>P000039</t>
  </si>
  <si>
    <t>59-1000039</t>
  </si>
  <si>
    <t>Jackson Professional Services LLC</t>
  </si>
  <si>
    <t>139 Market St Ste 139</t>
  </si>
  <si>
    <t>43215-1039</t>
  </si>
  <si>
    <t>OH500039</t>
  </si>
  <si>
    <t>PC-2026-00040</t>
  </si>
  <si>
    <t>PRV-10040</t>
  </si>
  <si>
    <t>1100000040</t>
  </si>
  <si>
    <t>P000040</t>
  </si>
  <si>
    <t>60-1000040</t>
  </si>
  <si>
    <t>140 Market St Ste 140</t>
  </si>
  <si>
    <t>90017-1040</t>
  </si>
  <si>
    <t>CA500040</t>
  </si>
  <si>
    <t>PC-2026-00041</t>
  </si>
  <si>
    <t>PRV-10041</t>
  </si>
  <si>
    <t>1100000041</t>
  </si>
  <si>
    <t>P000041</t>
  </si>
  <si>
    <t>61-1000041</t>
  </si>
  <si>
    <t>141 Market St Ste 141</t>
  </si>
  <si>
    <t>78701-1041</t>
  </si>
  <si>
    <t>TX500041</t>
  </si>
  <si>
    <t>PC-2026-00042</t>
  </si>
  <si>
    <t>PRV-10042</t>
  </si>
  <si>
    <t>1100000042</t>
  </si>
  <si>
    <t>P000042</t>
  </si>
  <si>
    <t>62-1000042</t>
  </si>
  <si>
    <t>Kim Professional Services LLC</t>
  </si>
  <si>
    <t>142 Market St Ste 142</t>
  </si>
  <si>
    <t>33602-1042</t>
  </si>
  <si>
    <t>242 Admin Ave, Tampa, FL 33602-2042</t>
  </si>
  <si>
    <t>FL500042</t>
  </si>
  <si>
    <t>PC-2026-00043</t>
  </si>
  <si>
    <t>PRV-10043</t>
  </si>
  <si>
    <t>1100000043</t>
  </si>
  <si>
    <t>P000043</t>
  </si>
  <si>
    <t>63-1000043</t>
  </si>
  <si>
    <t>143 Market St Ste 143</t>
  </si>
  <si>
    <t>12207-1043</t>
  </si>
  <si>
    <t>NY500043</t>
  </si>
  <si>
    <t>PC-2026-00044</t>
  </si>
  <si>
    <t>PRV-10044</t>
  </si>
  <si>
    <t>1100000044</t>
  </si>
  <si>
    <t>P000044</t>
  </si>
  <si>
    <t>64-1000044</t>
  </si>
  <si>
    <t>144 Market St Ste 144</t>
  </si>
  <si>
    <t>60606-1044</t>
  </si>
  <si>
    <t>IL500044</t>
  </si>
  <si>
    <t>PC-2026-00045</t>
  </si>
  <si>
    <t>PRV-10045</t>
  </si>
  <si>
    <t>1100000045</t>
  </si>
  <si>
    <t>P000045</t>
  </si>
  <si>
    <t>65-1000045</t>
  </si>
  <si>
    <t>Anderson Professional Services LLC</t>
  </si>
  <si>
    <t>145 Market St Ste 145</t>
  </si>
  <si>
    <t>85004-1045</t>
  </si>
  <si>
    <t>AZ500045</t>
  </si>
  <si>
    <t>PC-2026-00046</t>
  </si>
  <si>
    <t>PRV-10046</t>
  </si>
  <si>
    <t>1100000046</t>
  </si>
  <si>
    <t>P000046</t>
  </si>
  <si>
    <t>66-1000046</t>
  </si>
  <si>
    <t>146 Market St Ste 146</t>
  </si>
  <si>
    <t>98101-1046</t>
  </si>
  <si>
    <t>WA500046</t>
  </si>
  <si>
    <t>PC-2026-00047</t>
  </si>
  <si>
    <t>PRV-10047</t>
  </si>
  <si>
    <t>1100000047</t>
  </si>
  <si>
    <t>P000047</t>
  </si>
  <si>
    <t>67-1000047</t>
  </si>
  <si>
    <t>147 Market St Ste 147</t>
  </si>
  <si>
    <t>30303-1047</t>
  </si>
  <si>
    <t>GA500047</t>
  </si>
  <si>
    <t>PC-2026-00048</t>
  </si>
  <si>
    <t>PRV-10048</t>
  </si>
  <si>
    <t>1100000048</t>
  </si>
  <si>
    <t>P000048</t>
  </si>
  <si>
    <t>68-1000048</t>
  </si>
  <si>
    <t>Brown Professional Services LLC</t>
  </si>
  <si>
    <t>148 Market St Ste 148</t>
  </si>
  <si>
    <t>28202-1048</t>
  </si>
  <si>
    <t>248 Admin Ave, Charlotte, NC 28202-2048</t>
  </si>
  <si>
    <t>NC500048</t>
  </si>
  <si>
    <t>PC-2026-00049</t>
  </si>
  <si>
    <t>PRV-10049</t>
  </si>
  <si>
    <t>1100000049</t>
  </si>
  <si>
    <t>P000049</t>
  </si>
  <si>
    <t>69-1000049</t>
  </si>
  <si>
    <t>149 Market St Ste 149</t>
  </si>
  <si>
    <t>43215-1049</t>
  </si>
  <si>
    <t>OH500049</t>
  </si>
  <si>
    <t>PC-2026-00050</t>
  </si>
  <si>
    <t>PRV-10050</t>
  </si>
  <si>
    <t>1100000050</t>
  </si>
  <si>
    <t>P000050</t>
  </si>
  <si>
    <t>70-1000050</t>
  </si>
  <si>
    <t>150 Market St Ste 100</t>
  </si>
  <si>
    <t>90017-1050</t>
  </si>
  <si>
    <t>CA500050</t>
  </si>
  <si>
    <t>PC-2026-00051</t>
  </si>
  <si>
    <t>PRV-10051</t>
  </si>
  <si>
    <t>1100000051</t>
  </si>
  <si>
    <t>P000051</t>
  </si>
  <si>
    <t>71-1000051</t>
  </si>
  <si>
    <t>Wilson Professional Services LLC</t>
  </si>
  <si>
    <t>151 Market St Ste 101</t>
  </si>
  <si>
    <t>78701-1051</t>
  </si>
  <si>
    <t>TX500051</t>
  </si>
  <si>
    <t>PC-2026-00052</t>
  </si>
  <si>
    <t>PRV-10052</t>
  </si>
  <si>
    <t>1100000052</t>
  </si>
  <si>
    <t>P000052</t>
  </si>
  <si>
    <t>72-1000052</t>
  </si>
  <si>
    <t>152 Market St Ste 102</t>
  </si>
  <si>
    <t>33602-1052</t>
  </si>
  <si>
    <t>FL500052</t>
  </si>
  <si>
    <t>PC-2026-00053</t>
  </si>
  <si>
    <t>PRV-10053</t>
  </si>
  <si>
    <t>1100000053</t>
  </si>
  <si>
    <t>P000053</t>
  </si>
  <si>
    <t>73-1000053</t>
  </si>
  <si>
    <t>153 Market St Ste 103</t>
  </si>
  <si>
    <t>12207-1053</t>
  </si>
  <si>
    <t>NY500053</t>
  </si>
  <si>
    <t>PC-2026-00054</t>
  </si>
  <si>
    <t>PRV-10054</t>
  </si>
  <si>
    <t>1100000054</t>
  </si>
  <si>
    <t>P000054</t>
  </si>
  <si>
    <t>74-1000054</t>
  </si>
  <si>
    <t>Williams Professional Services LLC</t>
  </si>
  <si>
    <t>154 Market St Ste 104</t>
  </si>
  <si>
    <t>60606-1054</t>
  </si>
  <si>
    <t>254 Admin Ave, Chicago, IL 60606-2054</t>
  </si>
  <si>
    <t>IL500054</t>
  </si>
  <si>
    <t>PC-2026-00055</t>
  </si>
  <si>
    <t>PRV-10055</t>
  </si>
  <si>
    <t>1100000055</t>
  </si>
  <si>
    <t>P000055</t>
  </si>
  <si>
    <t>75-1000055</t>
  </si>
  <si>
    <t>155 Market St Ste 105</t>
  </si>
  <si>
    <t>85004-1055</t>
  </si>
  <si>
    <t>AZ500055</t>
  </si>
  <si>
    <t>PC-2026-00056</t>
  </si>
  <si>
    <t>PRV-10056</t>
  </si>
  <si>
    <t>1100000056</t>
  </si>
  <si>
    <t>P000056</t>
  </si>
  <si>
    <t>76-1000056</t>
  </si>
  <si>
    <t>156 Market St Ste 106</t>
  </si>
  <si>
    <t>98101-1056</t>
  </si>
  <si>
    <t>WA500056</t>
  </si>
  <si>
    <t>PC-2026-00057</t>
  </si>
  <si>
    <t>PRV-10057</t>
  </si>
  <si>
    <t>1100000057</t>
  </si>
  <si>
    <t>P000057</t>
  </si>
  <si>
    <t>77-1000057</t>
  </si>
  <si>
    <t>Davis Professional Services LLC</t>
  </si>
  <si>
    <t>157 Market St Ste 107</t>
  </si>
  <si>
    <t>30303-1057</t>
  </si>
  <si>
    <t>GA500057</t>
  </si>
  <si>
    <t>PC-2026-00058</t>
  </si>
  <si>
    <t>PRV-10058</t>
  </si>
  <si>
    <t>1100000058</t>
  </si>
  <si>
    <t>P000058</t>
  </si>
  <si>
    <t>78-1000058</t>
  </si>
  <si>
    <t>158 Market St Ste 108</t>
  </si>
  <si>
    <t>28202-1058</t>
  </si>
  <si>
    <t>NC500058</t>
  </si>
  <si>
    <t>PC-2026-00059</t>
  </si>
  <si>
    <t>PRV-10059</t>
  </si>
  <si>
    <t>1100000059</t>
  </si>
  <si>
    <t>P000059</t>
  </si>
  <si>
    <t>79-1000059</t>
  </si>
  <si>
    <t>159 Market St Ste 109</t>
  </si>
  <si>
    <t>43215-1059</t>
  </si>
  <si>
    <t>OH500059</t>
  </si>
  <si>
    <t>PC-2026-00060</t>
  </si>
  <si>
    <t>PRV-10060</t>
  </si>
  <si>
    <t>1100000060</t>
  </si>
  <si>
    <t>P000060</t>
  </si>
  <si>
    <t>80-1000060</t>
  </si>
  <si>
    <t>Patel Professional Services LLC</t>
  </si>
  <si>
    <t>160 Market St Ste 110</t>
  </si>
  <si>
    <t>90017-1060</t>
  </si>
  <si>
    <t>260 Admin Ave, Los Angeles, CA 90017-2060</t>
  </si>
  <si>
    <t>CA500060</t>
  </si>
  <si>
    <t>GC-3000</t>
  </si>
  <si>
    <t>2200000000</t>
  </si>
  <si>
    <t>PC-2026-00061</t>
  </si>
  <si>
    <t>PRV-10061</t>
  </si>
  <si>
    <t>1100000061</t>
  </si>
  <si>
    <t>P000061</t>
  </si>
  <si>
    <t>81-1000061</t>
  </si>
  <si>
    <t>161 Market St Ste 111</t>
  </si>
  <si>
    <t>78701-1061</t>
  </si>
  <si>
    <t>TX500061</t>
  </si>
  <si>
    <t>PC-2026-00062</t>
  </si>
  <si>
    <t>PRV-10062</t>
  </si>
  <si>
    <t>1100000062</t>
  </si>
  <si>
    <t>P000062</t>
  </si>
  <si>
    <t>82-1000062</t>
  </si>
  <si>
    <t>162 Market St Ste 112</t>
  </si>
  <si>
    <t>33602-1062</t>
  </si>
  <si>
    <t>FL500062</t>
  </si>
  <si>
    <t>PC-2026-00063</t>
  </si>
  <si>
    <t>PRV-10063</t>
  </si>
  <si>
    <t>1100000063</t>
  </si>
  <si>
    <t>P000063</t>
  </si>
  <si>
    <t>83-1000063</t>
  </si>
  <si>
    <t>163 Market St Ste 113</t>
  </si>
  <si>
    <t>12207-1063</t>
  </si>
  <si>
    <t>NY500063</t>
  </si>
  <si>
    <t>PC-2026-00064</t>
  </si>
  <si>
    <t>PRV-10064</t>
  </si>
  <si>
    <t>1100000064</t>
  </si>
  <si>
    <t>P000064</t>
  </si>
  <si>
    <t>84-1000064</t>
  </si>
  <si>
    <t>164 Market St Ste 114</t>
  </si>
  <si>
    <t>60606-1064</t>
  </si>
  <si>
    <t>IL500064</t>
  </si>
  <si>
    <t>PC-2026-00065</t>
  </si>
  <si>
    <t>PRV-10065</t>
  </si>
  <si>
    <t>1100000065</t>
  </si>
  <si>
    <t>P000065</t>
  </si>
  <si>
    <t>85-1000065</t>
  </si>
  <si>
    <t>165 Market St Ste 115</t>
  </si>
  <si>
    <t>85004-1065</t>
  </si>
  <si>
    <t>AZ500065</t>
  </si>
  <si>
    <t>PC-2026-00066</t>
  </si>
  <si>
    <t>PRV-10066</t>
  </si>
  <si>
    <t>1100000066</t>
  </si>
  <si>
    <t>P000066</t>
  </si>
  <si>
    <t>86-1000066</t>
  </si>
  <si>
    <t>166 Market St Ste 116</t>
  </si>
  <si>
    <t>98101-1066</t>
  </si>
  <si>
    <t>266 Admin Ave, Seattle, WA 98101-2066</t>
  </si>
  <si>
    <t>WA500066</t>
  </si>
  <si>
    <t>PC-2026-00067</t>
  </si>
  <si>
    <t>PRV-10067</t>
  </si>
  <si>
    <t>1100000067</t>
  </si>
  <si>
    <t>P000067</t>
  </si>
  <si>
    <t>87-1000067</t>
  </si>
  <si>
    <t>167 Market St Ste 117</t>
  </si>
  <si>
    <t>30303-1067</t>
  </si>
  <si>
    <t>GA500067</t>
  </si>
  <si>
    <t>PC-2026-00068</t>
  </si>
  <si>
    <t>PRV-10068</t>
  </si>
  <si>
    <t>1100000068</t>
  </si>
  <si>
    <t>P000068</t>
  </si>
  <si>
    <t>88-1000068</t>
  </si>
  <si>
    <t>168 Market St Ste 118</t>
  </si>
  <si>
    <t>28202-1068</t>
  </si>
  <si>
    <t>NC500068</t>
  </si>
  <si>
    <t>PC-2026-00069</t>
  </si>
  <si>
    <t>PRV-10069</t>
  </si>
  <si>
    <t>1100000069</t>
  </si>
  <si>
    <t>P000069</t>
  </si>
  <si>
    <t>89-1000069</t>
  </si>
  <si>
    <t>169 Market St Ste 119</t>
  </si>
  <si>
    <t>43215-1069</t>
  </si>
  <si>
    <t>OH500069</t>
  </si>
  <si>
    <t>PC-2026-00070</t>
  </si>
  <si>
    <t>PRV-10070</t>
  </si>
  <si>
    <t>1100000070</t>
  </si>
  <si>
    <t>P000070</t>
  </si>
  <si>
    <t>20-1000070</t>
  </si>
  <si>
    <t>170 Market St Ste 120</t>
  </si>
  <si>
    <t>90017-1070</t>
  </si>
  <si>
    <t>CA500070</t>
  </si>
  <si>
    <t>PC-2026-00071</t>
  </si>
  <si>
    <t>PRV-10071</t>
  </si>
  <si>
    <t>1100000071</t>
  </si>
  <si>
    <t>P000071</t>
  </si>
  <si>
    <t>21-1000071</t>
  </si>
  <si>
    <t>171 Market St Ste 121</t>
  </si>
  <si>
    <t>78701-1071</t>
  </si>
  <si>
    <t>TX500071</t>
  </si>
  <si>
    <t>PC-2026-00072</t>
  </si>
  <si>
    <t>PRV-10072</t>
  </si>
  <si>
    <t>1100000072</t>
  </si>
  <si>
    <t>P000072</t>
  </si>
  <si>
    <t>22-1000072</t>
  </si>
  <si>
    <t>172 Market St Ste 122</t>
  </si>
  <si>
    <t>33602-1072</t>
  </si>
  <si>
    <t>272 Admin Ave, Tampa, FL 33602-2072</t>
  </si>
  <si>
    <t>FL500072</t>
  </si>
  <si>
    <t>PC-2026-00073</t>
  </si>
  <si>
    <t>PRV-10073</t>
  </si>
  <si>
    <t>1100000073</t>
  </si>
  <si>
    <t>P000073</t>
  </si>
  <si>
    <t>23-1000073</t>
  </si>
  <si>
    <t>173 Market St Ste 123</t>
  </si>
  <si>
    <t>12207-1073</t>
  </si>
  <si>
    <t>NY500073</t>
  </si>
  <si>
    <t>PC-2026-00074</t>
  </si>
  <si>
    <t>PRV-10074</t>
  </si>
  <si>
    <t>1100000074</t>
  </si>
  <si>
    <t>P000074</t>
  </si>
  <si>
    <t>24-1000074</t>
  </si>
  <si>
    <t>174 Market St Ste 124</t>
  </si>
  <si>
    <t>60606-1074</t>
  </si>
  <si>
    <t>IL500074</t>
  </si>
  <si>
    <t>PC-2026-00075</t>
  </si>
  <si>
    <t>PRV-10075</t>
  </si>
  <si>
    <t>1100000075</t>
  </si>
  <si>
    <t>P000075</t>
  </si>
  <si>
    <t>25-1000075</t>
  </si>
  <si>
    <t>175 Market St Ste 125</t>
  </si>
  <si>
    <t>85004-1075</t>
  </si>
  <si>
    <t>AZ500075</t>
  </si>
  <si>
    <t>PC-2026-00076</t>
  </si>
  <si>
    <t>PRV-10076</t>
  </si>
  <si>
    <t>1100000076</t>
  </si>
  <si>
    <t>P000076</t>
  </si>
  <si>
    <t>26-1000076</t>
  </si>
  <si>
    <t>176 Market St Ste 126</t>
  </si>
  <si>
    <t>98101-1076</t>
  </si>
  <si>
    <t>WA500076</t>
  </si>
  <si>
    <t>PC-2026-00077</t>
  </si>
  <si>
    <t>PRV-10077</t>
  </si>
  <si>
    <t>1100000077</t>
  </si>
  <si>
    <t>P000077</t>
  </si>
  <si>
    <t>27-1000077</t>
  </si>
  <si>
    <t>177 Market St Ste 127</t>
  </si>
  <si>
    <t>30303-1077</t>
  </si>
  <si>
    <t>GA500077</t>
  </si>
  <si>
    <t>PC-2026-00078</t>
  </si>
  <si>
    <t>PRV-10078</t>
  </si>
  <si>
    <t>1100000078</t>
  </si>
  <si>
    <t>P000078</t>
  </si>
  <si>
    <t>28-1000078</t>
  </si>
  <si>
    <t>178 Market St Ste 128</t>
  </si>
  <si>
    <t>28202-1078</t>
  </si>
  <si>
    <t>278 Admin Ave, Charlotte, NC 28202-2078</t>
  </si>
  <si>
    <t>NC500078</t>
  </si>
  <si>
    <t>PC-2026-00079</t>
  </si>
  <si>
    <t>PRV-10079</t>
  </si>
  <si>
    <t>1100000079</t>
  </si>
  <si>
    <t>P000079</t>
  </si>
  <si>
    <t>29-1000079</t>
  </si>
  <si>
    <t>179 Market St Ste 129</t>
  </si>
  <si>
    <t>43215-1079</t>
  </si>
  <si>
    <t>OH500079</t>
  </si>
  <si>
    <t>PC-2026-00080</t>
  </si>
  <si>
    <t>PRV-10080</t>
  </si>
  <si>
    <t>1100000080</t>
  </si>
  <si>
    <t>P000080</t>
  </si>
  <si>
    <t>30-1000080</t>
  </si>
  <si>
    <t>180 Market St Ste 130</t>
  </si>
  <si>
    <t>90017-1080</t>
  </si>
  <si>
    <t>CA500080</t>
  </si>
  <si>
    <t>change_request_id</t>
  </si>
  <si>
    <t>linked_provider_contract_id</t>
  </si>
  <si>
    <t>request_date</t>
  </si>
  <si>
    <t>requested_effective_date</t>
  </si>
  <si>
    <t>change_category</t>
  </si>
  <si>
    <t>change_action</t>
  </si>
  <si>
    <t>cms_form</t>
  </si>
  <si>
    <t>requesting_party_role</t>
  </si>
  <si>
    <t>provider_signature_present</t>
  </si>
  <si>
    <t>contact_person_present</t>
  </si>
  <si>
    <t>existing_value</t>
  </si>
  <si>
    <t>requested_new_value</t>
  </si>
  <si>
    <t>new_location_state</t>
  </si>
  <si>
    <t>new_location_same_state</t>
  </si>
  <si>
    <t>supporting_docs_submitted</t>
  </si>
  <si>
    <t>development_requested</t>
  </si>
  <si>
    <t>development_response_due_date</t>
  </si>
  <si>
    <t>screening_required</t>
  </si>
  <si>
    <t>source_of_truth_rule</t>
  </si>
  <si>
    <t>expected_validation_outcome</t>
  </si>
  <si>
    <t>expected_contract_action</t>
  </si>
  <si>
    <t>validation_notes</t>
  </si>
  <si>
    <t>old_contract_snapshot_key</t>
  </si>
  <si>
    <t>new_contract_snapshot_key</t>
  </si>
  <si>
    <t>CR-2026-00001</t>
  </si>
  <si>
    <t>Practice Location Address</t>
  </si>
  <si>
    <t>Add</t>
  </si>
  <si>
    <t>108 Market St Ste 108, Charlotte, NC 28202-1008</t>
  </si>
  <si>
    <t>801 Same-State Medical Plz Ste 1, Charlotte, NC 28202-1008</t>
  </si>
  <si>
    <t>CMS-855I Certification Statement signed</t>
  </si>
  <si>
    <t>MED/SAM check</t>
  </si>
  <si>
    <t>Manual/Application based CMS-855I change-of-information validation</t>
  </si>
  <si>
    <t>APPROVE</t>
  </si>
  <si>
    <t>Update existing contract record</t>
  </si>
  <si>
    <t>Same-state practice location change can update existing contract after address and phone validation.</t>
  </si>
  <si>
    <t>PC-2026-00008-CURRENT</t>
  </si>
  <si>
    <t>PC-2026-00008-POSTCHANGE</t>
  </si>
  <si>
    <t>CR-2026-00002</t>
  </si>
  <si>
    <t>Correspondence Address</t>
  </si>
  <si>
    <t>Change</t>
  </si>
  <si>
    <t>102 Provider Admin Center, Phoenix, AZ 85004-1015</t>
  </si>
  <si>
    <t>N/A</t>
  </si>
  <si>
    <t>Correspondence address can differ from practice address when reported in the corresponding CMS-855I section.</t>
  </si>
  <si>
    <t>PC-2026-00015-CURRENT</t>
  </si>
  <si>
    <t>PC-2026-00015-POSTCHANGE</t>
  </si>
  <si>
    <t>CR-2026-00003</t>
  </si>
  <si>
    <t>Special Payment Address</t>
  </si>
  <si>
    <t>P.O. Box 443</t>
  </si>
  <si>
    <t>Special payment address change requires verification with practitioner/contact person.</t>
  </si>
  <si>
    <t>PC-2026-00022-CURRENT</t>
  </si>
  <si>
    <t>PC-2026-00022-POSTCHANGE</t>
  </si>
  <si>
    <t>CR-2026-00004</t>
  </si>
  <si>
    <t>Primary Specialty</t>
  </si>
  <si>
    <t>CMS-855I Certification Statement signed; license/certification evidence</t>
  </si>
  <si>
    <t>Specialty change validates against license/certification and may require documentation.</t>
  </si>
  <si>
    <t>PC-2026-00029-CURRENT</t>
  </si>
  <si>
    <t>PC-2026-00029-POSTCHANGE</t>
  </si>
  <si>
    <t>CR-2026-00005</t>
  </si>
  <si>
    <t>Reassignment</t>
  </si>
  <si>
    <t>Reassign benefits to group GC-4205 / NPI 2400000005</t>
  </si>
  <si>
    <t>CMS-855I Certification Statement signed; Section 4F reassignment details</t>
  </si>
  <si>
    <t>Reassigned group must be enrolled in Medicare before reassignment approval.</t>
  </si>
  <si>
    <t>PC-2026-00036-CURRENT</t>
  </si>
  <si>
    <t>PC-2026-00036-POSTCHANGE</t>
  </si>
  <si>
    <t>CR-2026-00006</t>
  </si>
  <si>
    <t>Terminate</t>
  </si>
  <si>
    <t>Terminate reassignment to current group</t>
  </si>
  <si>
    <t>PC-2026-00043-CURRENT</t>
  </si>
  <si>
    <t>PC-2026-00043-POSTCHANGE</t>
  </si>
  <si>
    <t>CR-2026-00007</t>
  </si>
  <si>
    <t>Billing Agency</t>
  </si>
  <si>
    <t>Northstar Revenue Cycle LLC, Los Angeles, CA</t>
  </si>
  <si>
    <t>CMS-855I Certification Statement signed; billing agency details</t>
  </si>
  <si>
    <t>Billing agency section is required only when a billing agency/agent is used.</t>
  </si>
  <si>
    <t>PC-2026-00050-CURRENT</t>
  </si>
  <si>
    <t>PC-2026-00050-POSTCHANGE</t>
  </si>
  <si>
    <t>CR-2026-00008</t>
  </si>
  <si>
    <t>Final Adverse Legal Action</t>
  </si>
  <si>
    <t>No adverse action on file</t>
  </si>
  <si>
    <t>Undisclosed OIG exclusion hit</t>
  </si>
  <si>
    <t>MED/SAM + adverse action review</t>
  </si>
  <si>
    <t>DENY</t>
  </si>
  <si>
    <t>Do not update contract; initiate denial/revocation review</t>
  </si>
  <si>
    <t>Final adverse legal actions must be reported in the proper section and verified; exclusions/debarments block approval.</t>
  </si>
  <si>
    <t>PC-2026-00057-CURRENT</t>
  </si>
  <si>
    <t>PC-2026-00057-POSTCHANGE</t>
  </si>
  <si>
    <t>CR-2026-00009</t>
  </si>
  <si>
    <t>Managing Employee</t>
  </si>
  <si>
    <t>No managing employee on file</t>
  </si>
  <si>
    <t>Jamie Chen, W-2 Managing Employee</t>
  </si>
  <si>
    <t>CMS-855I Certification Statement signed; Section 6 managing employee details</t>
  </si>
  <si>
    <t>Managing employee additions require final adverse action history and screening.</t>
  </si>
  <si>
    <t>PC-2026-00064-CURRENT</t>
  </si>
  <si>
    <t>PC-2026-00064-POSTCHANGE</t>
  </si>
  <si>
    <t>CR-2026-00010</t>
  </si>
  <si>
    <t>EFT Information</t>
  </si>
  <si>
    <t>EFT account ending 1010</t>
  </si>
  <si>
    <t>New routing/account token EFT-8010</t>
  </si>
  <si>
    <t>CMS-588 EFT Authorization Agreement; voided check/bank letter; CMS-855I signed certification</t>
  </si>
  <si>
    <t>EFT changes require verification with practitioner or authorized contact and supporting CMS-588 documentation.</t>
  </si>
  <si>
    <t>PC-2026-00071-CURRENT</t>
  </si>
  <si>
    <t>PC-2026-00071-POSTCHANGE</t>
  </si>
  <si>
    <t>CR-2026-00011</t>
  </si>
  <si>
    <t>Voluntary Termination</t>
  </si>
  <si>
    <t>Active contract</t>
  </si>
  <si>
    <t>Terminate Medicare contract participation at provider request</t>
  </si>
  <si>
    <t>CMS-855I voluntary termination fields; certification signed and dated</t>
  </si>
  <si>
    <t>Close contract after effective date; retain special payment address for runout claims as needed</t>
  </si>
  <si>
    <t>Voluntary termination must include effective date and certification.</t>
  </si>
  <si>
    <t>PC-2026-00078-CURRENT</t>
  </si>
  <si>
    <t>PC-2026-00078-POSTCHANGE</t>
  </si>
  <si>
    <t>CR-2026-00012</t>
  </si>
  <si>
    <t>Business Structure</t>
  </si>
  <si>
    <t>Professional Corporation</t>
  </si>
  <si>
    <t>IRS documentation; CMS-855I business section if applicable</t>
  </si>
  <si>
    <t>Sole owner practitioner business updates can be handled through CMS-855I when data is captured on the form; verify LBN/TIN.</t>
  </si>
  <si>
    <t>PC-2026-00005-CURRENT</t>
  </si>
  <si>
    <t>PC-2026-00005-POSTCHANGE</t>
  </si>
  <si>
    <t>CR-2026-00013</t>
  </si>
  <si>
    <t>112 Market St Ste 112, Tampa, FL 33602-1012</t>
  </si>
  <si>
    <t>913 Relocated Clinic Rd Ste 13, Tampa, FL 33602-1012</t>
  </si>
  <si>
    <t>Practice location changes require CMS-855I change request and validation of new information.</t>
  </si>
  <si>
    <t>PC-2026-00012-CURRENT</t>
  </si>
  <si>
    <t>PC-2026-00012-POSTCHANGE</t>
  </si>
  <si>
    <t>CR-2026-00014</t>
  </si>
  <si>
    <t>119 Market St Ste 119, Columbus, OH 43215-1019</t>
  </si>
  <si>
    <t>814 Same-State Medical Plz Ste 14, Columbus, OH 43215-1019</t>
  </si>
  <si>
    <t>PC-2026-00019-CURRENT</t>
  </si>
  <si>
    <t>PC-2026-00019-POSTCHANGE</t>
  </si>
  <si>
    <t>CR-2026-00015</t>
  </si>
  <si>
    <t>115 Provider Admin Center, Seattle, WA 98101-1026</t>
  </si>
  <si>
    <t>PC-2026-00026-CURRENT</t>
  </si>
  <si>
    <t>PC-2026-00026-POSTCHANGE</t>
  </si>
  <si>
    <t>CR-2026-00016</t>
  </si>
  <si>
    <t>P.O. Box 4416</t>
  </si>
  <si>
    <t>PC-2026-00033-CURRENT</t>
  </si>
  <si>
    <t>PC-2026-00033-POSTCHANGE</t>
  </si>
  <si>
    <t>CR-2026-00017</t>
  </si>
  <si>
    <t>Do not update specialty; provider type eligibility/licensure mismatch</t>
  </si>
  <si>
    <t>Specialty changes must be compatible with licensure/certification and provider type.</t>
  </si>
  <si>
    <t>PC-2026-00040-CURRENT</t>
  </si>
  <si>
    <t>PC-2026-00040-POSTCHANGE</t>
  </si>
  <si>
    <t>CR-2026-00018</t>
  </si>
  <si>
    <t>Reassign benefits to group GC-4218 / NPI 2400000018</t>
  </si>
  <si>
    <t>DEVELOP</t>
  </si>
  <si>
    <t>Hold until reassignee enrollment is verified</t>
  </si>
  <si>
    <t>Requested reassignee could not be verified as Medicare enrolled.</t>
  </si>
  <si>
    <t>PC-2026-00047-CURRENT</t>
  </si>
  <si>
    <t>PC-2026-00047-POSTCHANGE</t>
  </si>
  <si>
    <t>CR-2026-00019</t>
  </si>
  <si>
    <t>PC-2026-00054-CURRENT</t>
  </si>
  <si>
    <t>PC-2026-00054-POSTCHANGE</t>
  </si>
  <si>
    <t>CR-2026-00020</t>
  </si>
  <si>
    <t>Northstar Revenue Cycle LLC, Austin, TX</t>
  </si>
  <si>
    <t>PC-2026-00061-CURRENT</t>
  </si>
  <si>
    <t>PC-2026-00061-POSTCHANGE</t>
  </si>
  <si>
    <t>CR-2026-00021</t>
  </si>
  <si>
    <t>New state license probation disclosure</t>
  </si>
  <si>
    <t>Hold pending adverse action documentation</t>
  </si>
  <si>
    <t>PC-2026-00068-CURRENT</t>
  </si>
  <si>
    <t>PC-2026-00068-POSTCHANGE</t>
  </si>
  <si>
    <t>CR-2026-00022</t>
  </si>
  <si>
    <t>Taylor Williams, W-2 Managing Employee</t>
  </si>
  <si>
    <t>PC-2026-00075-CURRENT</t>
  </si>
  <si>
    <t>PC-2026-00075-POSTCHANGE</t>
  </si>
  <si>
    <t>CR-2026-00023</t>
  </si>
  <si>
    <t>EFT account ending 1023</t>
  </si>
  <si>
    <t>New routing/account token EFT-8023</t>
  </si>
  <si>
    <t>PC-2026-00002-CURRENT</t>
  </si>
  <si>
    <t>PC-2026-00002-POSTCHANGE</t>
  </si>
  <si>
    <t>CR-2026-00024</t>
  </si>
  <si>
    <t>PC-2026-00009-CURRENT</t>
  </si>
  <si>
    <t>PC-2026-00009-POSTCHANGE</t>
  </si>
  <si>
    <t>CR-2026-00025</t>
  </si>
  <si>
    <t>PC-2026-00016-CURRENT</t>
  </si>
  <si>
    <t>PC-2026-00016-POSTCHANGE</t>
  </si>
  <si>
    <t>CR-2026-00026</t>
  </si>
  <si>
    <t>123 Market St Ste 123, Albany, NY 12207-1023</t>
  </si>
  <si>
    <t>926 Relocated Clinic Rd Ste 26, Albany, NY 12207-1023</t>
  </si>
  <si>
    <t>PC-2026-00023-CURRENT</t>
  </si>
  <si>
    <t>PC-2026-00023-POSTCHANGE</t>
  </si>
  <si>
    <t>CR-2026-00027</t>
  </si>
  <si>
    <t>130 Market St Ste 130, Los Angeles, CA 90017-1030</t>
  </si>
  <si>
    <t>727 Cross-State Pkwy Ste 27, Austin, TX 78701-3027</t>
  </si>
  <si>
    <t>INITIAL_ENROLLMENT_REQUIRED</t>
  </si>
  <si>
    <t>Do not update existing contract; create new provider enrollment/contract package</t>
  </si>
  <si>
    <t>CMS-855I out-of-state practice location additions require a separate initial enrollment even if the TIN/LBN are the same.</t>
  </si>
  <si>
    <t>PC-2026-00030-CURRENT</t>
  </si>
  <si>
    <t>PC-2026-00030-POSTCHANGE</t>
  </si>
  <si>
    <t>CR-2026-00028</t>
  </si>
  <si>
    <t>128 Provider Admin Center, Atlanta, GA 30303-1037</t>
  </si>
  <si>
    <t>PC-2026-00037-CURRENT</t>
  </si>
  <si>
    <t>PC-2026-00037-POSTCHANGE</t>
  </si>
  <si>
    <t>CR-2026-00029</t>
  </si>
  <si>
    <t>P.O. Box 4429</t>
  </si>
  <si>
    <t>PC-2026-00044-CURRENT</t>
  </si>
  <si>
    <t>PC-2026-00044-POSTCHANGE</t>
  </si>
  <si>
    <t>CR-2026-00030</t>
  </si>
  <si>
    <t>PC-2026-00051-CURRENT</t>
  </si>
  <si>
    <t>PC-2026-00051-POSTCHANGE</t>
  </si>
  <si>
    <t>CR-2026-00031</t>
  </si>
  <si>
    <t>Reassign benefits to group GC-4231 / NPI 2400000031</t>
  </si>
  <si>
    <t>PC-2026-00058-CURRENT</t>
  </si>
  <si>
    <t>PC-2026-00058-POSTCHANGE</t>
  </si>
  <si>
    <t>CR-2026-00032</t>
  </si>
  <si>
    <t>PC-2026-00065-CURRENT</t>
  </si>
  <si>
    <t>PC-2026-00065-POSTCHANGE</t>
  </si>
  <si>
    <t>CR-2026-00033</t>
  </si>
  <si>
    <t>Northstar Revenue Cycle LLC, Tampa, FL</t>
  </si>
  <si>
    <t>PC-2026-00072-CURRENT</t>
  </si>
  <si>
    <t>PC-2026-00072-POSTCHANGE</t>
  </si>
  <si>
    <t>CR-2026-00034</t>
  </si>
  <si>
    <t>PC-2026-00079-CURRENT</t>
  </si>
  <si>
    <t>PC-2026-00079-POSTCHANGE</t>
  </si>
  <si>
    <t>CR-2026-00035</t>
  </si>
  <si>
    <t>Emerson Anderson, W-2 Managing Employee</t>
  </si>
  <si>
    <t>PC-2026-00006-CURRENT</t>
  </si>
  <si>
    <t>PC-2026-00006-POSTCHANGE</t>
  </si>
  <si>
    <t>CR-2026-00036</t>
  </si>
  <si>
    <t>EFT account ending 1036</t>
  </si>
  <si>
    <t>New routing/account token EFT-8036</t>
  </si>
  <si>
    <t>Hold pending bank documentation</t>
  </si>
  <si>
    <t>Missing voided check or bank letter; change cannot be processed until documentation is received.</t>
  </si>
  <si>
    <t>PC-2026-00013-CURRENT</t>
  </si>
  <si>
    <t>PC-2026-00013-POSTCHANGE</t>
  </si>
  <si>
    <t>CR-2026-00037</t>
  </si>
  <si>
    <t>PC-2026-00020-CURRENT</t>
  </si>
  <si>
    <t>PC-2026-00020-POSTCHANGE</t>
  </si>
  <si>
    <t>CR-2026-00038</t>
  </si>
  <si>
    <t>Hold pending correct CMS form and IRS support</t>
  </si>
  <si>
    <t>If business data is not captured on CMS-855I, the applicable CMS form may be required.</t>
  </si>
  <si>
    <t>PC-2026-00027-CURRENT</t>
  </si>
  <si>
    <t>PC-2026-00027-POSTCHANGE</t>
  </si>
  <si>
    <t>CR-2026-00039</t>
  </si>
  <si>
    <t>134 Market St Ste 134, Chicago, IL 60606-1034</t>
  </si>
  <si>
    <t>939 Relocated Clinic Rd Ste 9, Chicago, IL 60606-1034</t>
  </si>
  <si>
    <t>PC-2026-00034-CURRENT</t>
  </si>
  <si>
    <t>PC-2026-00034-POSTCHANGE</t>
  </si>
  <si>
    <t>CR-2026-00040</t>
  </si>
  <si>
    <t>141 Market St Ste 141, Austin, TX 78701-1041</t>
  </si>
  <si>
    <t>840 Same-State Medical Plz Ste 40, Austin, TX 78701-1041</t>
  </si>
  <si>
    <t>PC-2026-00041-CURRENT</t>
  </si>
  <si>
    <t>PC-2026-00041-POSTCHANGE</t>
  </si>
  <si>
    <t>CR-2026-00041</t>
  </si>
  <si>
    <t>141 Provider Admin Center, Charlotte, NC 28202-1048</t>
  </si>
  <si>
    <t>PC-2026-00048-CURRENT</t>
  </si>
  <si>
    <t>PC-2026-00048-POSTCHANGE</t>
  </si>
  <si>
    <t>CR-2026-00042</t>
  </si>
  <si>
    <t>P.O. Box 4442</t>
  </si>
  <si>
    <t>PC-2026-00055-CURRENT</t>
  </si>
  <si>
    <t>PC-2026-00055-POSTCHANGE</t>
  </si>
  <si>
    <t>CR-2026-00043</t>
  </si>
  <si>
    <t>PC-2026-00062-CURRENT</t>
  </si>
  <si>
    <t>PC-2026-00062-POSTCHANGE</t>
  </si>
  <si>
    <t>CR-2026-00044</t>
  </si>
  <si>
    <t>Reassign benefits to group GC-4244 / NPI 2400000044</t>
  </si>
  <si>
    <t>PC-2026-00069-CURRENT</t>
  </si>
  <si>
    <t>PC-2026-00069-POSTCHANGE</t>
  </si>
  <si>
    <t>CR-2026-00045</t>
  </si>
  <si>
    <t>PC-2026-00076-CURRENT</t>
  </si>
  <si>
    <t>PC-2026-00076-POSTCHANGE</t>
  </si>
  <si>
    <t>CR-2026-00046</t>
  </si>
  <si>
    <t>Northstar Revenue Cycle LLC, Albany, NY</t>
  </si>
  <si>
    <t>PC-2026-00003-CURRENT</t>
  </si>
  <si>
    <t>PC-2026-00003-POSTCHANGE</t>
  </si>
  <si>
    <t>CR-2026-00047</t>
  </si>
  <si>
    <t>PC-2026-00010-CURRENT</t>
  </si>
  <si>
    <t>PC-2026-00010-POSTCHANGE</t>
  </si>
  <si>
    <t>CR-2026-00048</t>
  </si>
  <si>
    <t>Alex Martinez, W-2 Managing Employee</t>
  </si>
  <si>
    <t>PC-2026-00017-CURRENT</t>
  </si>
  <si>
    <t>PC-2026-00017-POSTCHANGE</t>
  </si>
  <si>
    <t>CR-2026-00049</t>
  </si>
  <si>
    <t>EFT account ending 1049</t>
  </si>
  <si>
    <t>New routing/account token EFT-8049</t>
  </si>
  <si>
    <t>PC-2026-00024-CURRENT</t>
  </si>
  <si>
    <t>PC-2026-00024-POSTCHANGE</t>
  </si>
  <si>
    <t>CR-2026-00050</t>
  </si>
  <si>
    <t>PC-2026-00031-CURRENT</t>
  </si>
  <si>
    <t>PC-2026-00031-POSTCHANGE</t>
  </si>
  <si>
    <t>CR-2026-00051</t>
  </si>
  <si>
    <t>PC-2026-00038-CURRENT</t>
  </si>
  <si>
    <t>PC-2026-00038-POSTCHANGE</t>
  </si>
  <si>
    <t>CR-2026-00052</t>
  </si>
  <si>
    <t>145 Market St Ste 145, Phoenix, AZ 85004-1045</t>
  </si>
  <si>
    <t>952 Relocated Clinic Rd Ste 22, Phoenix, AZ 85004-1045</t>
  </si>
  <si>
    <t>PC-2026-00045-CURRENT</t>
  </si>
  <si>
    <t>PC-2026-00045-POSTCHANGE</t>
  </si>
  <si>
    <t>CR-2026-00053</t>
  </si>
  <si>
    <t>152 Market St Ste 102, Tampa, FL 33602-1052</t>
  </si>
  <si>
    <t>853 Same-State Medical Plz Ste 53, Tampa, FL 33602-1052</t>
  </si>
  <si>
    <t>PC-2026-00052-CURRENT</t>
  </si>
  <si>
    <t>PC-2026-00052-POSTCHANGE</t>
  </si>
  <si>
    <t>CR-2026-00054</t>
  </si>
  <si>
    <t>154 Provider Admin Center, Columbus, OH 43215-1059</t>
  </si>
  <si>
    <t>PC-2026-00059-CURRENT</t>
  </si>
  <si>
    <t>PC-2026-00059-POSTCHANGE</t>
  </si>
  <si>
    <t>CR-2026-00055</t>
  </si>
  <si>
    <t>Private residence address</t>
  </si>
  <si>
    <t>Hold change request pending acceptable special payment address evidence</t>
  </si>
  <si>
    <t>Special payment address must be an allowed type such as practice location, PO Box, lockbox, billing agent, or correspondence address.</t>
  </si>
  <si>
    <t>PC-2026-00066-CURRENT</t>
  </si>
  <si>
    <t>PC-2026-00066-POSTCHANGE</t>
  </si>
  <si>
    <t>CR-2026-00056</t>
  </si>
  <si>
    <t>PC-2026-00073-CURRENT</t>
  </si>
  <si>
    <t>PC-2026-00073-POSTCHANGE</t>
  </si>
  <si>
    <t>CR-2026-00057</t>
  </si>
  <si>
    <t>Reassign benefits to group GC-4257 / NPI 2400000057</t>
  </si>
  <si>
    <t>PC-2026-00080-CURRENT</t>
  </si>
  <si>
    <t>PC-2026-00080-POSTCHANGE</t>
  </si>
  <si>
    <t>CR-2026-00058</t>
  </si>
  <si>
    <t>PC-2026-00007-CURRENT</t>
  </si>
  <si>
    <t>PC-2026-00007-POSTCHANGE</t>
  </si>
  <si>
    <t>CR-2026-00059</t>
  </si>
  <si>
    <t>Northstar Revenue Cycle LLC, Chicago, IL</t>
  </si>
  <si>
    <t>PC-2026-00014-CURRENT</t>
  </si>
  <si>
    <t>PC-2026-00014-POSTCHANGE</t>
  </si>
  <si>
    <t>CR-2026-00060</t>
  </si>
  <si>
    <t>PC-2026-00021-CURRENT</t>
  </si>
  <si>
    <t>PC-2026-00021-POSTCHANGE</t>
  </si>
  <si>
    <t>rule_id</t>
  </si>
  <si>
    <t>validation_rule</t>
  </si>
  <si>
    <t>manual_or_application_basis</t>
  </si>
  <si>
    <t>applies_to_change_category</t>
  </si>
  <si>
    <t>expected_action_when_failed</t>
  </si>
  <si>
    <t>R-001</t>
  </si>
  <si>
    <t>Change requests for existing CMS-855I practitioners must be submitted on CMS-855I, not CMS-855O or another form.</t>
  </si>
  <si>
    <t>Manual: CMS-855I enrollees use CMS-855I for enrollment information changes.</t>
  </si>
  <si>
    <t>All</t>
  </si>
  <si>
    <t>Reject or develop for correct form</t>
  </si>
  <si>
    <t>R-002</t>
  </si>
  <si>
    <t>Provider identifiers must match source-of-truth enrollment record: NPI, PTAN, legal name/LBN, and TIN/SSN key.</t>
  </si>
  <si>
    <t>Application: billing number/NPI and identifying information must match Medicare/NPPES records.</t>
  </si>
  <si>
    <t>Develop for clarification or reject if unresolved</t>
  </si>
  <si>
    <t>R-003</t>
  </si>
  <si>
    <t>A CMS-855I out-of-state practice location addition requires a separate initial enrollment application.</t>
  </si>
  <si>
    <t>Manual: CMS-855I out-of-state practice location additions require separate initial enrollment.</t>
  </si>
  <si>
    <t>Practice Location Address - Add</t>
  </si>
  <si>
    <t>Initial enrollment required; do not update existing contract only</t>
  </si>
  <si>
    <t>R-004</t>
  </si>
  <si>
    <t>Special payment address must be an allowed destination such as practice location, PO Box, lockbox, billing agent, or correspondence address.</t>
  </si>
  <si>
    <t>Manual: special payment/remittance address limitations.</t>
  </si>
  <si>
    <t>Develop or reject if unacceptable</t>
  </si>
  <si>
    <t>R-005</t>
  </si>
  <si>
    <t>All final adverse legal actions must be reported and screened; exclusion/debarment blocks approval.</t>
  </si>
  <si>
    <t>Application section 3 and manual MED/SAM/adverse action verification.</t>
  </si>
  <si>
    <t>Deny/refer or develop depending on finding</t>
  </si>
  <si>
    <t>R-006</t>
  </si>
  <si>
    <t>Reassigned group or organization must be enrolled before approving reassignment.</t>
  </si>
  <si>
    <t>Manual: contractor verifies reassignee enrollment before approving reassignment.</t>
  </si>
  <si>
    <t>Develop/hold until verified</t>
  </si>
  <si>
    <t>R-007</t>
  </si>
  <si>
    <t>EFT changes require CMS-588 and bank documentation; contractor must verify the change with appropriate party.</t>
  </si>
  <si>
    <t>Application supporting documents and manual EFT change verification.</t>
  </si>
  <si>
    <t>R-008</t>
  </si>
  <si>
    <t>Certification statement must be signed and dated by individual practitioner for CMS-855I.</t>
  </si>
  <si>
    <t>CMS-855I Section 15 certification statement and signature.</t>
  </si>
  <si>
    <t>Reject incomplete request</t>
  </si>
  <si>
    <t>R-009</t>
  </si>
  <si>
    <t>Specialty changes must be compatible with licensure/certification and specialty requirements.</t>
  </si>
  <si>
    <t>Application sections 2G/2H license/certification and specialty information.</t>
  </si>
  <si>
    <t>Develop or deny if incompatible</t>
  </si>
  <si>
    <t>R-010</t>
  </si>
  <si>
    <t>If supporting documentation already exists in the provider file, it can be reused unless the rule requires new evidence.</t>
  </si>
  <si>
    <t>Manual processing alternative for previously submitted support.</t>
  </si>
  <si>
    <t>Use existing documentation or develop if missing</t>
  </si>
  <si>
    <t>Provider Contract Change Validation Workbook</t>
  </si>
  <si>
    <t>Dataset purpose</t>
  </si>
  <si>
    <t>Synthetic existing provider contract records and linked change requests for validation testing.</t>
  </si>
  <si>
    <t>Existing provider records</t>
  </si>
  <si>
    <t>Change requests</t>
  </si>
  <si>
    <t>Expected APPROVE</t>
  </si>
  <si>
    <t>Expected DEVELOP</t>
  </si>
  <si>
    <t>Expected DENY</t>
  </si>
  <si>
    <t>Expected INITIAL_ENROLLMENT_REQUIRED</t>
  </si>
  <si>
    <t>Expected REJECT</t>
  </si>
  <si>
    <t>Source files</t>
  </si>
  <si>
    <t>Medicare Enrollment Manual.pdf; Medicare Enrollment Application.pdf (CMS-855I)</t>
  </si>
  <si>
    <t>REJECT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</si>
</sst>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3" fillId="3" borderId="0" xfId="0" applyFont="1" applyFill="1"/>
    <xf numFmtId="1" fontId="0" fillId="0" borderId="0" xfId="0" applyNumberFormat="1"/>
    <xf numFmtId="164" fontId="0" fillId="0" borderId="0" xfId="0" applyNumberFormat="1" applyAlignment="1">
      <alignment wrapText="1"/>
    </xf>
    <xf numFmtId="164" fontId="0" fillId="0" borderId="0" xfId="0" applyNumberFormat="1"/>
    <xf numFmtId="0" fontId="1" fillId="4" borderId="0" xfId="0" applyFont="1" applyFill="1" applyAlignment="1">
      <alignment horizontal="center" vertical="center" wrapText="1"/>
    </xf>
    <xf numFmtId="0" fontId="0" fillId="4" borderId="0" xfId="0" applyFill="1" applyAlignment="1">
      <alignment wrapText="1"/>
    </xf>
    <xf numFmtId="0" fontId="0" fillId="4" borderId="0" xfId="0" applyFill="1"/>
    <xf numFmtId="0" fontId="0" fillId="5" borderId="0" xfId="0" applyFill="1" applyAlignment="1">
      <alignment wrapText="1"/>
    </xf>
    <xf numFmtId="164" fontId="0" fillId="5" borderId="0" xfId="0" applyNumberFormat="1" applyFill="1" applyAlignment="1">
      <alignment wrapText="1"/>
    </xf>
    <xf numFmtId="0" fontId="0" fillId="6" borderId="0" xfId="0" applyFill="1" applyAlignment="1">
      <alignment wrapText="1"/>
    </xf>
    <xf numFmtId="164" fontId="0" fillId="6" borderId="0" xfId="0" applyNumberFormat="1" applyFill="1" applyAlignment="1">
      <alignment wrapText="1"/>
    </xf>
    <xf numFmtId="0" fontId="2" fillId="2" borderId="0" xfId="0" applyFont="1" applyFill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6">
    <dxf>
      <fill>
        <patternFill>
          <fgColor indexed="64"/>
          <bgColor theme="5" tint="0.59999389629810485"/>
        </patternFill>
      </fill>
    </dxf>
    <dxf>
      <fill>
        <patternFill>
          <fgColor indexed="64"/>
          <bgColor theme="5" tint="0.59999389629810485"/>
        </patternFill>
      </fill>
    </dxf>
    <dxf>
      <fill>
        <patternFill patternType="solid">
          <bgColor rgb="FFD9E2F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xistingProviderContracts" displayName="ExistingProviderContracts" ref="A1:AQ81">
  <tableColumns count="43">
    <tableColumn id="1" xr3:uid="{00000000-0010-0000-0000-000001000000}" name="provider_contract_id"/>
    <tableColumn id="2" xr3:uid="{00000000-0010-0000-0000-000002000000}" name="provider_id"/>
    <tableColumn id="3" xr3:uid="{00000000-0010-0000-0000-000003000000}" name="npi"/>
    <tableColumn id="4" xr3:uid="{00000000-0010-0000-0000-000004000000}" name="ptan"/>
    <tableColumn id="5" xr3:uid="{00000000-0010-0000-0000-000005000000}" name="individual_name"/>
    <tableColumn id="6" xr3:uid="{00000000-0010-0000-0000-000006000000}" name="provider_type"/>
    <tableColumn id="7" xr3:uid="{00000000-0010-0000-0000-000007000000}" name="primary_specialty"/>
    <tableColumn id="8" xr3:uid="{00000000-0010-0000-0000-000008000000}" name="secondary_specialty"/>
    <tableColumn id="9" xr3:uid="{00000000-0010-0000-0000-000009000000}" name="contract_status"/>
    <tableColumn id="10" xr3:uid="{00000000-0010-0000-0000-00000A000000}" name="pecos_enrollment_status"/>
    <tableColumn id="11" xr3:uid="{00000000-0010-0000-0000-00000B000000}" name="medicare_enrollment_form"/>
    <tableColumn id="12" xr3:uid="{00000000-0010-0000-0000-00000C000000}" name="tax_id_or_ssn_key"/>
    <tableColumn id="13" xr3:uid="{00000000-0010-0000-0000-00000D000000}" name="legal_business_name"/>
    <tableColumn id="14" xr3:uid="{00000000-0010-0000-0000-00000E000000}" name="business_structure"/>
    <tableColumn id="15" xr3:uid="{00000000-0010-0000-0000-00000F000000}" name="current_practice_location_name"/>
    <tableColumn id="16" xr3:uid="{00000000-0010-0000-0000-000010000000}" name="practice_address_line1"/>
    <tableColumn id="17" xr3:uid="{00000000-0010-0000-0000-000011000000}" name="practice_city"/>
    <tableColumn id="18" xr3:uid="{00000000-0010-0000-0000-000012000000}" name="practice_state"/>
    <tableColumn id="19" xr3:uid="{00000000-0010-0000-0000-000013000000}" name="practice_zip4"/>
    <tableColumn id="20" xr3:uid="{00000000-0010-0000-0000-000014000000}" name="correspondence_same_as_practice"/>
    <tableColumn id="21" xr3:uid="{00000000-0010-0000-0000-000015000000}" name="correspondence_address"/>
    <tableColumn id="22" xr3:uid="{00000000-0010-0000-0000-000016000000}" name="special_payment_address_type"/>
    <tableColumn id="23" xr3:uid="{00000000-0010-0000-0000-000017000000}" name="accepting_new_patients"/>
    <tableColumn id="24" xr3:uid="{00000000-0010-0000-0000-000018000000}" name="license_number"/>
    <tableColumn id="25" xr3:uid="{00000000-0010-0000-0000-000019000000}" name="license_state"/>
    <tableColumn id="26" xr3:uid="{00000000-0010-0000-0000-00001A000000}" name="license_effective_date"/>
    <tableColumn id="27" xr3:uid="{00000000-0010-0000-0000-00001B000000}" name="license_expiration_date"/>
    <tableColumn id="28" xr3:uid="{00000000-0010-0000-0000-00001C000000}" name="dea_required"/>
    <tableColumn id="29" xr3:uid="{00000000-0010-0000-0000-00001D000000}" name="dea_registration_status"/>
    <tableColumn id="30" xr3:uid="{00000000-0010-0000-0000-00001E000000}" name="final_adverse_action_on_file"/>
    <tableColumn id="31" xr3:uid="{00000000-0010-0000-0000-00001F000000}" name="sanction_screening_status"/>
    <tableColumn id="32" xr3:uid="{00000000-0010-0000-0000-000020000000}" name="reassignment_status"/>
    <tableColumn id="33" xr3:uid="{00000000-0010-0000-0000-000021000000}" name="reassigned_group_contract_id"/>
    <tableColumn id="34" xr3:uid="{00000000-0010-0000-0000-000022000000}" name="reassigned_group_npi"/>
    <tableColumn id="35" xr3:uid="{00000000-0010-0000-0000-000023000000}" name="billing_agency_on_file"/>
    <tableColumn id="36" xr3:uid="{00000000-0010-0000-0000-000024000000}" name="eft_on_file"/>
    <tableColumn id="37" xr3:uid="{00000000-0010-0000-0000-000025000000}" name="contract_effective_date"/>
    <tableColumn id="38" xr3:uid="{00000000-0010-0000-0000-000026000000}" name="contract_end_date"/>
    <tableColumn id="39" xr3:uid="{00000000-0010-0000-0000-000027000000}" name="last_revalidation_date"/>
    <tableColumn id="40" xr3:uid="{00000000-0010-0000-0000-000028000000}" name="next_revalidation_due"/>
    <tableColumn id="41" xr3:uid="{00000000-0010-0000-0000-000029000000}" name="source_of_truth_system"/>
    <tableColumn id="42" xr3:uid="{00000000-0010-0000-0000-00002A000000}" name="source_rule_reference"/>
    <tableColumn id="43" xr3:uid="{00000000-0010-0000-0000-00002B000000}" name="record_confide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questedContractChanges" displayName="RequestedContractChanges" ref="A1:Y61">
  <tableColumns count="25">
    <tableColumn id="1" xr3:uid="{00000000-0010-0000-0100-000001000000}" name="change_request_id"/>
    <tableColumn id="2" xr3:uid="{00000000-0010-0000-0100-000002000000}" name="linked_provider_contract_id"/>
    <tableColumn id="3" xr3:uid="{00000000-0010-0000-0100-000003000000}" name="provider_id"/>
    <tableColumn id="4" xr3:uid="{00000000-0010-0000-0100-000004000000}" name="request_date"/>
    <tableColumn id="5" xr3:uid="{00000000-0010-0000-0100-000005000000}" name="requested_effective_date"/>
    <tableColumn id="6" xr3:uid="{00000000-0010-0000-0100-000006000000}" name="change_category"/>
    <tableColumn id="7" xr3:uid="{00000000-0010-0000-0100-000007000000}" name="change_action"/>
    <tableColumn id="8" xr3:uid="{00000000-0010-0000-0100-000008000000}" name="cms_form"/>
    <tableColumn id="9" xr3:uid="{00000000-0010-0000-0100-000009000000}" name="requesting_party_role"/>
    <tableColumn id="10" xr3:uid="{00000000-0010-0000-0100-00000A000000}" name="provider_signature_present"/>
    <tableColumn id="11" xr3:uid="{00000000-0010-0000-0100-00000B000000}" name="contact_person_present"/>
    <tableColumn id="12" xr3:uid="{00000000-0010-0000-0100-00000C000000}" name="existing_value" dataDxfId="1"/>
    <tableColumn id="13" xr3:uid="{00000000-0010-0000-0100-00000D000000}" name="requested_new_value" dataDxfId="0"/>
    <tableColumn id="14" xr3:uid="{00000000-0010-0000-0100-00000E000000}" name="new_location_state"/>
    <tableColumn id="15" xr3:uid="{00000000-0010-0000-0100-00000F000000}" name="new_location_same_state"/>
    <tableColumn id="16" xr3:uid="{00000000-0010-0000-0100-000010000000}" name="supporting_docs_submitted"/>
    <tableColumn id="17" xr3:uid="{00000000-0010-0000-0100-000011000000}" name="development_requested"/>
    <tableColumn id="18" xr3:uid="{00000000-0010-0000-0100-000012000000}" name="development_response_due_date"/>
    <tableColumn id="19" xr3:uid="{00000000-0010-0000-0100-000013000000}" name="screening_required"/>
    <tableColumn id="20" xr3:uid="{00000000-0010-0000-0100-000014000000}" name="source_of_truth_rule"/>
    <tableColumn id="21" xr3:uid="{00000000-0010-0000-0100-000015000000}" name="expected_validation_outcome"/>
    <tableColumn id="22" xr3:uid="{00000000-0010-0000-0100-000016000000}" name="expected_contract_action"/>
    <tableColumn id="23" xr3:uid="{00000000-0010-0000-0100-000017000000}" name="validation_notes"/>
    <tableColumn id="24" xr3:uid="{00000000-0010-0000-0100-000018000000}" name="old_contract_snapshot_key"/>
    <tableColumn id="25" xr3:uid="{00000000-0010-0000-0100-000019000000}" name="new_contract_snapshot_ke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ValidationRules" displayName="ValidationRules" ref="A1:E11">
  <tableColumns count="5">
    <tableColumn id="1" xr3:uid="{00000000-0010-0000-0200-000001000000}" name="rule_id"/>
    <tableColumn id="2" xr3:uid="{00000000-0010-0000-0200-000002000000}" name="validation_rule"/>
    <tableColumn id="3" xr3:uid="{00000000-0010-0000-0200-000003000000}" name="manual_or_application_basis"/>
    <tableColumn id="4" xr3:uid="{00000000-0010-0000-0200-000004000000}" name="applies_to_change_category"/>
    <tableColumn id="5" xr3:uid="{00000000-0010-0000-0200-000005000000}" name="expected_action_when_fail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00"/>
  <sheetViews>
    <sheetView workbookViewId="0">
      <selection activeCell="E2" sqref="E2"/>
    </sheetView>
  </sheetViews>
  <sheetFormatPr defaultRowHeight="14.1"/>
  <cols>
    <col min="1" max="1" width="18" customWidth="1"/>
    <col min="2" max="2" width="14.375" customWidth="1"/>
    <col min="3" max="3" width="11.75" customWidth="1"/>
    <col min="4" max="4" width="9.375" customWidth="1"/>
    <col min="5" max="5" width="22" customWidth="1"/>
    <col min="6" max="6" width="17.625" customWidth="1"/>
    <col min="7" max="7" width="28.875" customWidth="1"/>
    <col min="8" max="8" width="16.625" customWidth="1"/>
    <col min="9" max="9" width="12.5" customWidth="1"/>
    <col min="10" max="10" width="20.625" customWidth="1"/>
    <col min="11" max="11" width="22.5" customWidth="1"/>
    <col min="12" max="12" width="15.125" customWidth="1"/>
    <col min="13" max="13" width="27.875" customWidth="1"/>
    <col min="14" max="14" width="15.375" customWidth="1"/>
    <col min="15" max="15" width="26.5" customWidth="1"/>
    <col min="16" max="16" width="28" customWidth="1"/>
    <col min="17" max="17" width="10.375" customWidth="1"/>
    <col min="18" max="18" width="11.375" customWidth="1"/>
    <col min="19" max="19" width="10.75" customWidth="1"/>
    <col min="20" max="20" width="28.625" customWidth="1"/>
    <col min="21" max="21" width="35.5" customWidth="1"/>
    <col min="22" max="22" width="25.625" customWidth="1"/>
    <col min="23" max="23" width="19.875" customWidth="1"/>
    <col min="24" max="24" width="13.125" customWidth="1"/>
    <col min="25" max="25" width="10.625" customWidth="1"/>
    <col min="26" max="26" width="18.125" customWidth="1"/>
    <col min="27" max="27" width="19.5" customWidth="1"/>
    <col min="28" max="28" width="10.875" customWidth="1"/>
    <col min="29" max="29" width="19.25" customWidth="1"/>
    <col min="30" max="30" width="23.625" customWidth="1"/>
    <col min="31" max="31" width="21.5" customWidth="1"/>
    <col min="32" max="32" width="16.875" customWidth="1"/>
    <col min="33" max="33" width="24.75" customWidth="1"/>
    <col min="34" max="34" width="18" customWidth="1"/>
    <col min="35" max="35" width="18.375" customWidth="1"/>
    <col min="36" max="36" width="8.875" customWidth="1"/>
    <col min="37" max="37" width="19.25" customWidth="1"/>
    <col min="38" max="38" width="15.5" customWidth="1"/>
    <col min="39" max="40" width="18.375" customWidth="1"/>
    <col min="41" max="41" width="27.375" customWidth="1"/>
    <col min="42" max="42" width="106.125" customWidth="1"/>
    <col min="43" max="43" width="36" customWidth="1"/>
  </cols>
  <sheetData>
    <row r="1" spans="1:43" ht="27.9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ht="27.95">
      <c r="A2" s="2" t="s">
        <v>43</v>
      </c>
      <c r="B2" s="2" t="s">
        <v>44</v>
      </c>
      <c r="C2" s="2" t="s">
        <v>45</v>
      </c>
      <c r="D2" s="2" t="s">
        <v>46</v>
      </c>
      <c r="E2" s="2" t="s">
        <v>47</v>
      </c>
      <c r="F2" s="2" t="s">
        <v>48</v>
      </c>
      <c r="G2" s="2" t="s">
        <v>49</v>
      </c>
      <c r="H2" s="2"/>
      <c r="I2" s="2" t="s">
        <v>50</v>
      </c>
      <c r="J2" s="2" t="s">
        <v>51</v>
      </c>
      <c r="K2" s="2" t="s">
        <v>52</v>
      </c>
      <c r="L2" s="2" t="s">
        <v>53</v>
      </c>
      <c r="M2" s="2"/>
      <c r="N2" s="2" t="s">
        <v>54</v>
      </c>
      <c r="O2" s="2" t="s">
        <v>55</v>
      </c>
      <c r="P2" s="2" t="s">
        <v>56</v>
      </c>
      <c r="Q2" s="2" t="s">
        <v>57</v>
      </c>
      <c r="R2" s="2" t="s">
        <v>58</v>
      </c>
      <c r="S2" s="2" t="s">
        <v>59</v>
      </c>
      <c r="T2" s="2" t="s">
        <v>60</v>
      </c>
      <c r="U2" s="2"/>
      <c r="V2" s="2" t="s">
        <v>61</v>
      </c>
      <c r="W2" s="2" t="s">
        <v>60</v>
      </c>
      <c r="X2" s="2" t="s">
        <v>62</v>
      </c>
      <c r="Y2" s="2" t="s">
        <v>58</v>
      </c>
      <c r="Z2" s="5">
        <v>43497</v>
      </c>
      <c r="AA2" s="5">
        <v>46811</v>
      </c>
      <c r="AB2" s="2" t="s">
        <v>60</v>
      </c>
      <c r="AC2" s="2" t="s">
        <v>50</v>
      </c>
      <c r="AD2" s="2" t="s">
        <v>63</v>
      </c>
      <c r="AE2" s="2" t="s">
        <v>64</v>
      </c>
      <c r="AF2" s="2" t="s">
        <v>65</v>
      </c>
      <c r="AG2" s="2"/>
      <c r="AH2" s="2"/>
      <c r="AI2" s="2" t="s">
        <v>63</v>
      </c>
      <c r="AJ2" s="5" t="s">
        <v>60</v>
      </c>
      <c r="AK2" s="5">
        <v>44208</v>
      </c>
      <c r="AL2" s="5">
        <v>47118</v>
      </c>
      <c r="AM2" s="5">
        <v>44972</v>
      </c>
      <c r="AN2" s="2">
        <v>46798</v>
      </c>
      <c r="AO2" s="2" t="s">
        <v>66</v>
      </c>
      <c r="AP2" s="2" t="s">
        <v>67</v>
      </c>
      <c r="AQ2" s="2" t="s">
        <v>68</v>
      </c>
    </row>
    <row r="3" spans="1:43" ht="27.95">
      <c r="A3" s="2" t="s">
        <v>69</v>
      </c>
      <c r="B3" s="2" t="s">
        <v>70</v>
      </c>
      <c r="C3" s="2" t="s">
        <v>71</v>
      </c>
      <c r="D3" s="2" t="s">
        <v>72</v>
      </c>
      <c r="E3" s="2" t="s">
        <v>73</v>
      </c>
      <c r="F3" s="2" t="s">
        <v>48</v>
      </c>
      <c r="G3" s="2" t="s">
        <v>74</v>
      </c>
      <c r="H3" s="2"/>
      <c r="I3" s="2" t="s">
        <v>50</v>
      </c>
      <c r="J3" s="2" t="s">
        <v>51</v>
      </c>
      <c r="K3" s="2" t="s">
        <v>52</v>
      </c>
      <c r="L3" s="2" t="s">
        <v>75</v>
      </c>
      <c r="M3" s="2"/>
      <c r="N3" s="2" t="s">
        <v>54</v>
      </c>
      <c r="O3" s="2" t="s">
        <v>76</v>
      </c>
      <c r="P3" s="2" t="s">
        <v>77</v>
      </c>
      <c r="Q3" s="2" t="s">
        <v>78</v>
      </c>
      <c r="R3" s="2" t="s">
        <v>79</v>
      </c>
      <c r="S3" s="2" t="s">
        <v>80</v>
      </c>
      <c r="T3" s="2" t="s">
        <v>60</v>
      </c>
      <c r="U3" s="2"/>
      <c r="V3" s="2" t="s">
        <v>61</v>
      </c>
      <c r="W3" s="2" t="s">
        <v>60</v>
      </c>
      <c r="X3" s="2" t="s">
        <v>81</v>
      </c>
      <c r="Y3" s="2" t="s">
        <v>79</v>
      </c>
      <c r="Z3" s="5">
        <v>43891</v>
      </c>
      <c r="AA3" s="5">
        <v>46474</v>
      </c>
      <c r="AB3" s="2" t="s">
        <v>60</v>
      </c>
      <c r="AC3" s="2" t="s">
        <v>50</v>
      </c>
      <c r="AD3" s="2" t="s">
        <v>63</v>
      </c>
      <c r="AE3" s="2" t="s">
        <v>64</v>
      </c>
      <c r="AF3" s="2" t="s">
        <v>65</v>
      </c>
      <c r="AG3" s="2"/>
      <c r="AH3" s="2"/>
      <c r="AI3" s="2" t="s">
        <v>63</v>
      </c>
      <c r="AJ3" s="5" t="s">
        <v>60</v>
      </c>
      <c r="AK3" s="5">
        <v>44219</v>
      </c>
      <c r="AL3" s="5">
        <v>47118</v>
      </c>
      <c r="AM3" s="5">
        <v>45366</v>
      </c>
      <c r="AN3" s="2">
        <v>47192</v>
      </c>
      <c r="AO3" s="2" t="s">
        <v>66</v>
      </c>
      <c r="AP3" s="2" t="s">
        <v>67</v>
      </c>
      <c r="AQ3" s="2" t="s">
        <v>68</v>
      </c>
    </row>
    <row r="4" spans="1:43" ht="27.95">
      <c r="A4" s="2" t="s">
        <v>82</v>
      </c>
      <c r="B4" s="2" t="s">
        <v>83</v>
      </c>
      <c r="C4" s="2" t="s">
        <v>84</v>
      </c>
      <c r="D4" s="2" t="s">
        <v>85</v>
      </c>
      <c r="E4" s="2" t="s">
        <v>86</v>
      </c>
      <c r="F4" s="2" t="s">
        <v>48</v>
      </c>
      <c r="G4" s="2" t="s">
        <v>87</v>
      </c>
      <c r="H4" s="2"/>
      <c r="I4" s="2" t="s">
        <v>50</v>
      </c>
      <c r="J4" s="2" t="s">
        <v>51</v>
      </c>
      <c r="K4" s="2" t="s">
        <v>52</v>
      </c>
      <c r="L4" s="2" t="s">
        <v>88</v>
      </c>
      <c r="M4" s="2" t="s">
        <v>89</v>
      </c>
      <c r="N4" s="2" t="s">
        <v>90</v>
      </c>
      <c r="O4" s="2" t="s">
        <v>91</v>
      </c>
      <c r="P4" s="2" t="s">
        <v>92</v>
      </c>
      <c r="Q4" s="2" t="s">
        <v>93</v>
      </c>
      <c r="R4" s="2" t="s">
        <v>94</v>
      </c>
      <c r="S4" s="2" t="s">
        <v>95</v>
      </c>
      <c r="T4" s="2" t="s">
        <v>60</v>
      </c>
      <c r="U4" s="2"/>
      <c r="V4" s="2" t="s">
        <v>61</v>
      </c>
      <c r="W4" s="2" t="s">
        <v>63</v>
      </c>
      <c r="X4" s="2" t="s">
        <v>96</v>
      </c>
      <c r="Y4" s="2" t="s">
        <v>94</v>
      </c>
      <c r="Z4" s="5">
        <v>44287</v>
      </c>
      <c r="AA4" s="5">
        <v>46871</v>
      </c>
      <c r="AB4" s="2" t="s">
        <v>60</v>
      </c>
      <c r="AC4" s="2" t="s">
        <v>50</v>
      </c>
      <c r="AD4" s="2" t="s">
        <v>63</v>
      </c>
      <c r="AE4" s="2" t="s">
        <v>64</v>
      </c>
      <c r="AF4" s="2" t="s">
        <v>65</v>
      </c>
      <c r="AG4" s="2"/>
      <c r="AH4" s="2"/>
      <c r="AI4" s="2" t="s">
        <v>63</v>
      </c>
      <c r="AJ4" s="5" t="s">
        <v>60</v>
      </c>
      <c r="AK4" s="5">
        <v>44230</v>
      </c>
      <c r="AL4" s="5">
        <v>47118</v>
      </c>
      <c r="AM4" s="5">
        <v>44666</v>
      </c>
      <c r="AN4" s="2">
        <v>46492</v>
      </c>
      <c r="AO4" s="2" t="s">
        <v>66</v>
      </c>
      <c r="AP4" s="2" t="s">
        <v>67</v>
      </c>
      <c r="AQ4" s="2" t="s">
        <v>68</v>
      </c>
    </row>
    <row r="5" spans="1:43" ht="27.95">
      <c r="A5" s="2" t="s">
        <v>97</v>
      </c>
      <c r="B5" s="2" t="s">
        <v>98</v>
      </c>
      <c r="C5" s="2" t="s">
        <v>99</v>
      </c>
      <c r="D5" s="2" t="s">
        <v>100</v>
      </c>
      <c r="E5" s="2" t="s">
        <v>101</v>
      </c>
      <c r="F5" s="2" t="s">
        <v>48</v>
      </c>
      <c r="G5" s="2" t="s">
        <v>102</v>
      </c>
      <c r="H5" s="2" t="s">
        <v>103</v>
      </c>
      <c r="I5" s="2" t="s">
        <v>50</v>
      </c>
      <c r="J5" s="2" t="s">
        <v>51</v>
      </c>
      <c r="K5" s="2" t="s">
        <v>52</v>
      </c>
      <c r="L5" s="2" t="s">
        <v>104</v>
      </c>
      <c r="M5" s="2"/>
      <c r="N5" s="2" t="s">
        <v>54</v>
      </c>
      <c r="O5" s="2" t="s">
        <v>105</v>
      </c>
      <c r="P5" s="2" t="s">
        <v>106</v>
      </c>
      <c r="Q5" s="2" t="s">
        <v>107</v>
      </c>
      <c r="R5" s="2" t="s">
        <v>108</v>
      </c>
      <c r="S5" s="2" t="s">
        <v>109</v>
      </c>
      <c r="T5" s="2" t="s">
        <v>60</v>
      </c>
      <c r="U5" s="2"/>
      <c r="V5" s="2" t="s">
        <v>61</v>
      </c>
      <c r="W5" s="2" t="s">
        <v>60</v>
      </c>
      <c r="X5" s="2" t="s">
        <v>110</v>
      </c>
      <c r="Y5" s="2" t="s">
        <v>108</v>
      </c>
      <c r="Z5" s="5">
        <v>44682</v>
      </c>
      <c r="AA5" s="5">
        <v>46535</v>
      </c>
      <c r="AB5" s="2" t="s">
        <v>60</v>
      </c>
      <c r="AC5" s="2" t="s">
        <v>50</v>
      </c>
      <c r="AD5" s="2" t="s">
        <v>63</v>
      </c>
      <c r="AE5" s="2" t="s">
        <v>64</v>
      </c>
      <c r="AF5" s="2" t="s">
        <v>65</v>
      </c>
      <c r="AG5" s="2"/>
      <c r="AH5" s="2"/>
      <c r="AI5" s="2" t="s">
        <v>63</v>
      </c>
      <c r="AJ5" s="5" t="s">
        <v>60</v>
      </c>
      <c r="AK5" s="5">
        <v>44241</v>
      </c>
      <c r="AL5" s="5">
        <v>47118</v>
      </c>
      <c r="AM5" s="5">
        <v>45061</v>
      </c>
      <c r="AN5" s="2">
        <v>46888</v>
      </c>
      <c r="AO5" s="2" t="s">
        <v>66</v>
      </c>
      <c r="AP5" s="2" t="s">
        <v>67</v>
      </c>
      <c r="AQ5" s="2" t="s">
        <v>68</v>
      </c>
    </row>
    <row r="6" spans="1:43" ht="27.95">
      <c r="A6" s="2" t="s">
        <v>111</v>
      </c>
      <c r="B6" s="2" t="s">
        <v>112</v>
      </c>
      <c r="C6" s="2" t="s">
        <v>113</v>
      </c>
      <c r="D6" s="2" t="s">
        <v>114</v>
      </c>
      <c r="E6" s="2" t="s">
        <v>115</v>
      </c>
      <c r="F6" s="2" t="s">
        <v>48</v>
      </c>
      <c r="G6" s="2" t="s">
        <v>116</v>
      </c>
      <c r="H6" s="2"/>
      <c r="I6" s="2" t="s">
        <v>117</v>
      </c>
      <c r="J6" s="2" t="s">
        <v>118</v>
      </c>
      <c r="K6" s="2" t="s">
        <v>52</v>
      </c>
      <c r="L6" s="2" t="s">
        <v>119</v>
      </c>
      <c r="M6" s="2"/>
      <c r="N6" s="2" t="s">
        <v>54</v>
      </c>
      <c r="O6" s="2" t="s">
        <v>120</v>
      </c>
      <c r="P6" s="2" t="s">
        <v>121</v>
      </c>
      <c r="Q6" s="2" t="s">
        <v>122</v>
      </c>
      <c r="R6" s="2" t="s">
        <v>123</v>
      </c>
      <c r="S6" s="2" t="s">
        <v>124</v>
      </c>
      <c r="T6" s="2" t="s">
        <v>60</v>
      </c>
      <c r="U6" s="2"/>
      <c r="V6" s="2" t="s">
        <v>61</v>
      </c>
      <c r="W6" s="2" t="s">
        <v>60</v>
      </c>
      <c r="X6" s="2" t="s">
        <v>125</v>
      </c>
      <c r="Y6" s="2" t="s">
        <v>123</v>
      </c>
      <c r="Z6" s="5">
        <v>43252</v>
      </c>
      <c r="AA6" s="5">
        <v>46932</v>
      </c>
      <c r="AB6" s="2" t="s">
        <v>63</v>
      </c>
      <c r="AC6" s="2" t="s">
        <v>126</v>
      </c>
      <c r="AD6" s="2" t="s">
        <v>63</v>
      </c>
      <c r="AE6" s="2" t="s">
        <v>64</v>
      </c>
      <c r="AF6" s="2" t="s">
        <v>127</v>
      </c>
      <c r="AG6" s="2" t="s">
        <v>128</v>
      </c>
      <c r="AH6" s="2" t="s">
        <v>129</v>
      </c>
      <c r="AI6" s="2" t="s">
        <v>63</v>
      </c>
      <c r="AJ6" s="5" t="s">
        <v>60</v>
      </c>
      <c r="AK6" s="5">
        <v>44252</v>
      </c>
      <c r="AL6" s="5">
        <v>47118</v>
      </c>
      <c r="AM6" s="5">
        <v>45458</v>
      </c>
      <c r="AN6" s="2">
        <v>47284</v>
      </c>
      <c r="AO6" s="2" t="s">
        <v>66</v>
      </c>
      <c r="AP6" s="2" t="s">
        <v>67</v>
      </c>
      <c r="AQ6" s="2" t="s">
        <v>68</v>
      </c>
    </row>
    <row r="7" spans="1:43" ht="27.95">
      <c r="A7" s="2" t="s">
        <v>130</v>
      </c>
      <c r="B7" s="2" t="s">
        <v>131</v>
      </c>
      <c r="C7" s="2" t="s">
        <v>132</v>
      </c>
      <c r="D7" s="2" t="s">
        <v>133</v>
      </c>
      <c r="E7" s="2" t="s">
        <v>134</v>
      </c>
      <c r="F7" s="2" t="s">
        <v>48</v>
      </c>
      <c r="G7" s="2" t="s">
        <v>135</v>
      </c>
      <c r="H7" s="2"/>
      <c r="I7" s="2" t="s">
        <v>50</v>
      </c>
      <c r="J7" s="2" t="s">
        <v>51</v>
      </c>
      <c r="K7" s="2" t="s">
        <v>52</v>
      </c>
      <c r="L7" s="2" t="s">
        <v>136</v>
      </c>
      <c r="M7" s="2" t="s">
        <v>137</v>
      </c>
      <c r="N7" s="2" t="s">
        <v>90</v>
      </c>
      <c r="O7" s="2" t="s">
        <v>138</v>
      </c>
      <c r="P7" s="2" t="s">
        <v>139</v>
      </c>
      <c r="Q7" s="2" t="s">
        <v>140</v>
      </c>
      <c r="R7" s="2" t="s">
        <v>141</v>
      </c>
      <c r="S7" s="2" t="s">
        <v>142</v>
      </c>
      <c r="T7" s="2" t="s">
        <v>63</v>
      </c>
      <c r="U7" s="2" t="s">
        <v>143</v>
      </c>
      <c r="V7" s="2" t="s">
        <v>61</v>
      </c>
      <c r="W7" s="2" t="s">
        <v>63</v>
      </c>
      <c r="X7" s="2" t="s">
        <v>144</v>
      </c>
      <c r="Y7" s="2" t="s">
        <v>141</v>
      </c>
      <c r="Z7" s="5">
        <v>43647</v>
      </c>
      <c r="AA7" s="5">
        <v>46596</v>
      </c>
      <c r="AB7" s="2" t="s">
        <v>63</v>
      </c>
      <c r="AC7" s="2" t="s">
        <v>126</v>
      </c>
      <c r="AD7" s="2" t="s">
        <v>63</v>
      </c>
      <c r="AE7" s="2" t="s">
        <v>64</v>
      </c>
      <c r="AF7" s="2" t="s">
        <v>65</v>
      </c>
      <c r="AG7" s="2"/>
      <c r="AH7" s="2"/>
      <c r="AI7" s="2" t="s">
        <v>63</v>
      </c>
      <c r="AJ7" s="5" t="s">
        <v>60</v>
      </c>
      <c r="AK7" s="5">
        <v>44263</v>
      </c>
      <c r="AL7" s="5">
        <v>47118</v>
      </c>
      <c r="AM7" s="5">
        <v>44757</v>
      </c>
      <c r="AN7" s="2">
        <v>46583</v>
      </c>
      <c r="AO7" s="2" t="s">
        <v>66</v>
      </c>
      <c r="AP7" s="2" t="s">
        <v>67</v>
      </c>
      <c r="AQ7" s="2" t="s">
        <v>68</v>
      </c>
    </row>
    <row r="8" spans="1:43" ht="27.95">
      <c r="A8" s="2" t="s">
        <v>145</v>
      </c>
      <c r="B8" s="2" t="s">
        <v>146</v>
      </c>
      <c r="C8" s="2" t="s">
        <v>147</v>
      </c>
      <c r="D8" s="2" t="s">
        <v>148</v>
      </c>
      <c r="E8" s="2" t="s">
        <v>149</v>
      </c>
      <c r="F8" s="2" t="s">
        <v>48</v>
      </c>
      <c r="G8" s="2" t="s">
        <v>103</v>
      </c>
      <c r="H8" s="2"/>
      <c r="I8" s="2" t="s">
        <v>50</v>
      </c>
      <c r="J8" s="2" t="s">
        <v>51</v>
      </c>
      <c r="K8" s="2" t="s">
        <v>52</v>
      </c>
      <c r="L8" s="2" t="s">
        <v>150</v>
      </c>
      <c r="M8" s="2"/>
      <c r="N8" s="2" t="s">
        <v>54</v>
      </c>
      <c r="O8" s="2" t="s">
        <v>151</v>
      </c>
      <c r="P8" s="2" t="s">
        <v>152</v>
      </c>
      <c r="Q8" s="2" t="s">
        <v>153</v>
      </c>
      <c r="R8" s="2" t="s">
        <v>154</v>
      </c>
      <c r="S8" s="2" t="s">
        <v>155</v>
      </c>
      <c r="T8" s="2" t="s">
        <v>60</v>
      </c>
      <c r="U8" s="2"/>
      <c r="V8" s="2" t="s">
        <v>61</v>
      </c>
      <c r="W8" s="2" t="s">
        <v>60</v>
      </c>
      <c r="X8" s="2" t="s">
        <v>156</v>
      </c>
      <c r="Y8" s="2" t="s">
        <v>154</v>
      </c>
      <c r="Z8" s="5">
        <v>44044</v>
      </c>
      <c r="AA8" s="5">
        <v>46993</v>
      </c>
      <c r="AB8" s="2" t="s">
        <v>63</v>
      </c>
      <c r="AC8" s="2" t="s">
        <v>126</v>
      </c>
      <c r="AD8" s="2" t="s">
        <v>63</v>
      </c>
      <c r="AE8" s="2" t="s">
        <v>64</v>
      </c>
      <c r="AF8" s="2" t="s">
        <v>157</v>
      </c>
      <c r="AG8" s="2" t="s">
        <v>158</v>
      </c>
      <c r="AH8" s="2" t="s">
        <v>159</v>
      </c>
      <c r="AI8" s="2" t="s">
        <v>63</v>
      </c>
      <c r="AJ8" s="5" t="s">
        <v>60</v>
      </c>
      <c r="AK8" s="5">
        <v>44274</v>
      </c>
      <c r="AL8" s="5">
        <v>47118</v>
      </c>
      <c r="AM8" s="5">
        <v>45153</v>
      </c>
      <c r="AN8" s="2">
        <v>46980</v>
      </c>
      <c r="AO8" s="2" t="s">
        <v>66</v>
      </c>
      <c r="AP8" s="2" t="s">
        <v>67</v>
      </c>
      <c r="AQ8" s="2" t="s">
        <v>68</v>
      </c>
    </row>
    <row r="9" spans="1:43" ht="27.95">
      <c r="A9" s="2" t="s">
        <v>160</v>
      </c>
      <c r="B9" s="2" t="s">
        <v>161</v>
      </c>
      <c r="C9" s="2" t="s">
        <v>162</v>
      </c>
      <c r="D9" s="2" t="s">
        <v>163</v>
      </c>
      <c r="E9" s="2" t="s">
        <v>164</v>
      </c>
      <c r="F9" s="2" t="s">
        <v>48</v>
      </c>
      <c r="G9" s="2" t="s">
        <v>165</v>
      </c>
      <c r="H9" s="2" t="s">
        <v>49</v>
      </c>
      <c r="I9" s="2" t="s">
        <v>50</v>
      </c>
      <c r="J9" s="2" t="s">
        <v>51</v>
      </c>
      <c r="K9" s="2" t="s">
        <v>52</v>
      </c>
      <c r="L9" s="2" t="s">
        <v>166</v>
      </c>
      <c r="M9" s="2"/>
      <c r="N9" s="2" t="s">
        <v>54</v>
      </c>
      <c r="O9" s="2" t="s">
        <v>167</v>
      </c>
      <c r="P9" s="2" t="s">
        <v>168</v>
      </c>
      <c r="Q9" s="2" t="s">
        <v>169</v>
      </c>
      <c r="R9" s="2" t="s">
        <v>170</v>
      </c>
      <c r="S9" s="2" t="s">
        <v>171</v>
      </c>
      <c r="T9" s="2" t="s">
        <v>60</v>
      </c>
      <c r="U9" s="2"/>
      <c r="V9" s="2" t="s">
        <v>172</v>
      </c>
      <c r="W9" s="2" t="s">
        <v>60</v>
      </c>
      <c r="X9" s="2" t="s">
        <v>173</v>
      </c>
      <c r="Y9" s="2" t="s">
        <v>170</v>
      </c>
      <c r="Z9" s="5">
        <v>44440</v>
      </c>
      <c r="AA9" s="5">
        <v>46658</v>
      </c>
      <c r="AB9" s="2" t="s">
        <v>63</v>
      </c>
      <c r="AC9" s="2" t="s">
        <v>126</v>
      </c>
      <c r="AD9" s="2" t="s">
        <v>63</v>
      </c>
      <c r="AE9" s="2" t="s">
        <v>64</v>
      </c>
      <c r="AF9" s="2" t="s">
        <v>65</v>
      </c>
      <c r="AG9" s="2"/>
      <c r="AH9" s="2"/>
      <c r="AI9" s="2" t="s">
        <v>63</v>
      </c>
      <c r="AJ9" s="5" t="s">
        <v>60</v>
      </c>
      <c r="AK9" s="5">
        <v>44285</v>
      </c>
      <c r="AL9" s="5">
        <v>47118</v>
      </c>
      <c r="AM9" s="5">
        <v>45550</v>
      </c>
      <c r="AN9" s="2">
        <v>47376</v>
      </c>
      <c r="AO9" s="2" t="s">
        <v>66</v>
      </c>
      <c r="AP9" s="2" t="s">
        <v>67</v>
      </c>
      <c r="AQ9" s="2" t="s">
        <v>68</v>
      </c>
    </row>
    <row r="10" spans="1:43" ht="27.95">
      <c r="A10" s="2" t="s">
        <v>174</v>
      </c>
      <c r="B10" s="2" t="s">
        <v>175</v>
      </c>
      <c r="C10" s="2" t="s">
        <v>176</v>
      </c>
      <c r="D10" s="2" t="s">
        <v>177</v>
      </c>
      <c r="E10" s="2" t="s">
        <v>178</v>
      </c>
      <c r="F10" s="2" t="s">
        <v>48</v>
      </c>
      <c r="G10" s="2" t="s">
        <v>179</v>
      </c>
      <c r="H10" s="2"/>
      <c r="I10" s="2" t="s">
        <v>50</v>
      </c>
      <c r="J10" s="2" t="s">
        <v>51</v>
      </c>
      <c r="K10" s="2" t="s">
        <v>52</v>
      </c>
      <c r="L10" s="2" t="s">
        <v>180</v>
      </c>
      <c r="M10" s="2" t="s">
        <v>181</v>
      </c>
      <c r="N10" s="2" t="s">
        <v>90</v>
      </c>
      <c r="O10" s="2" t="s">
        <v>182</v>
      </c>
      <c r="P10" s="2" t="s">
        <v>183</v>
      </c>
      <c r="Q10" s="2" t="s">
        <v>184</v>
      </c>
      <c r="R10" s="2" t="s">
        <v>185</v>
      </c>
      <c r="S10" s="2" t="s">
        <v>186</v>
      </c>
      <c r="T10" s="2" t="s">
        <v>60</v>
      </c>
      <c r="U10" s="2"/>
      <c r="V10" s="2" t="s">
        <v>61</v>
      </c>
      <c r="W10" s="2" t="s">
        <v>63</v>
      </c>
      <c r="X10" s="2" t="s">
        <v>187</v>
      </c>
      <c r="Y10" s="2" t="s">
        <v>185</v>
      </c>
      <c r="Z10" s="5">
        <v>44835</v>
      </c>
      <c r="AA10" s="5">
        <v>47054</v>
      </c>
      <c r="AB10" s="2" t="s">
        <v>63</v>
      </c>
      <c r="AC10" s="2" t="s">
        <v>126</v>
      </c>
      <c r="AD10" s="2" t="s">
        <v>63</v>
      </c>
      <c r="AE10" s="2" t="s">
        <v>64</v>
      </c>
      <c r="AF10" s="2" t="s">
        <v>65</v>
      </c>
      <c r="AG10" s="2"/>
      <c r="AH10" s="2"/>
      <c r="AI10" s="2" t="s">
        <v>60</v>
      </c>
      <c r="AJ10" s="5" t="s">
        <v>60</v>
      </c>
      <c r="AK10" s="5">
        <v>44296</v>
      </c>
      <c r="AL10" s="5">
        <v>47118</v>
      </c>
      <c r="AM10" s="5">
        <v>44849</v>
      </c>
      <c r="AN10" s="2">
        <v>46675</v>
      </c>
      <c r="AO10" s="2" t="s">
        <v>66</v>
      </c>
      <c r="AP10" s="2" t="s">
        <v>67</v>
      </c>
      <c r="AQ10" s="2" t="s">
        <v>68</v>
      </c>
    </row>
    <row r="11" spans="1:43" ht="27.95">
      <c r="A11" s="2" t="s">
        <v>188</v>
      </c>
      <c r="B11" s="2" t="s">
        <v>189</v>
      </c>
      <c r="C11" s="2" t="s">
        <v>190</v>
      </c>
      <c r="D11" s="2" t="s">
        <v>191</v>
      </c>
      <c r="E11" s="2" t="s">
        <v>192</v>
      </c>
      <c r="F11" s="2" t="s">
        <v>48</v>
      </c>
      <c r="G11" s="2" t="s">
        <v>193</v>
      </c>
      <c r="H11" s="2"/>
      <c r="I11" s="2" t="s">
        <v>50</v>
      </c>
      <c r="J11" s="2" t="s">
        <v>51</v>
      </c>
      <c r="K11" s="2" t="s">
        <v>52</v>
      </c>
      <c r="L11" s="2" t="s">
        <v>194</v>
      </c>
      <c r="M11" s="2"/>
      <c r="N11" s="2" t="s">
        <v>54</v>
      </c>
      <c r="O11" s="2" t="s">
        <v>195</v>
      </c>
      <c r="P11" s="2" t="s">
        <v>196</v>
      </c>
      <c r="Q11" s="2" t="s">
        <v>197</v>
      </c>
      <c r="R11" s="2" t="s">
        <v>198</v>
      </c>
      <c r="S11" s="2" t="s">
        <v>199</v>
      </c>
      <c r="T11" s="2" t="s">
        <v>60</v>
      </c>
      <c r="U11" s="2"/>
      <c r="V11" s="2" t="s">
        <v>61</v>
      </c>
      <c r="W11" s="2" t="s">
        <v>60</v>
      </c>
      <c r="X11" s="2" t="s">
        <v>200</v>
      </c>
      <c r="Y11" s="2" t="s">
        <v>198</v>
      </c>
      <c r="Z11" s="5">
        <v>43405</v>
      </c>
      <c r="AA11" s="5">
        <v>46719</v>
      </c>
      <c r="AB11" s="2" t="s">
        <v>60</v>
      </c>
      <c r="AC11" s="2" t="s">
        <v>50</v>
      </c>
      <c r="AD11" s="2" t="s">
        <v>63</v>
      </c>
      <c r="AE11" s="2" t="s">
        <v>64</v>
      </c>
      <c r="AF11" s="2" t="s">
        <v>127</v>
      </c>
      <c r="AG11" s="2" t="s">
        <v>201</v>
      </c>
      <c r="AH11" s="2" t="s">
        <v>202</v>
      </c>
      <c r="AI11" s="2" t="s">
        <v>63</v>
      </c>
      <c r="AJ11" s="5" t="s">
        <v>60</v>
      </c>
      <c r="AK11" s="5">
        <v>44307</v>
      </c>
      <c r="AL11" s="5">
        <v>47118</v>
      </c>
      <c r="AM11" s="5">
        <v>45245</v>
      </c>
      <c r="AN11" s="2">
        <v>47072</v>
      </c>
      <c r="AO11" s="2" t="s">
        <v>66</v>
      </c>
      <c r="AP11" s="2" t="s">
        <v>67</v>
      </c>
      <c r="AQ11" s="2" t="s">
        <v>68</v>
      </c>
    </row>
    <row r="12" spans="1:43" ht="27.95">
      <c r="A12" s="2" t="s">
        <v>203</v>
      </c>
      <c r="B12" s="2" t="s">
        <v>204</v>
      </c>
      <c r="C12" s="2" t="s">
        <v>205</v>
      </c>
      <c r="D12" s="2" t="s">
        <v>206</v>
      </c>
      <c r="E12" s="2" t="s">
        <v>207</v>
      </c>
      <c r="F12" s="2" t="s">
        <v>48</v>
      </c>
      <c r="G12" s="2" t="s">
        <v>49</v>
      </c>
      <c r="H12" s="2"/>
      <c r="I12" s="2" t="s">
        <v>117</v>
      </c>
      <c r="J12" s="2" t="s">
        <v>118</v>
      </c>
      <c r="K12" s="2" t="s">
        <v>52</v>
      </c>
      <c r="L12" s="2" t="s">
        <v>208</v>
      </c>
      <c r="M12" s="2"/>
      <c r="N12" s="2" t="s">
        <v>54</v>
      </c>
      <c r="O12" s="2" t="s">
        <v>209</v>
      </c>
      <c r="P12" s="2" t="s">
        <v>210</v>
      </c>
      <c r="Q12" s="2" t="s">
        <v>57</v>
      </c>
      <c r="R12" s="2" t="s">
        <v>58</v>
      </c>
      <c r="S12" s="2" t="s">
        <v>211</v>
      </c>
      <c r="T12" s="2" t="s">
        <v>60</v>
      </c>
      <c r="U12" s="2"/>
      <c r="V12" s="2" t="s">
        <v>61</v>
      </c>
      <c r="W12" s="2" t="s">
        <v>60</v>
      </c>
      <c r="X12" s="2" t="s">
        <v>212</v>
      </c>
      <c r="Y12" s="2" t="s">
        <v>58</v>
      </c>
      <c r="Z12" s="5">
        <v>43800</v>
      </c>
      <c r="AA12" s="5">
        <v>47115</v>
      </c>
      <c r="AB12" s="2" t="s">
        <v>60</v>
      </c>
      <c r="AC12" s="2" t="s">
        <v>50</v>
      </c>
      <c r="AD12" s="2" t="s">
        <v>63</v>
      </c>
      <c r="AE12" s="2" t="s">
        <v>64</v>
      </c>
      <c r="AF12" s="2" t="s">
        <v>65</v>
      </c>
      <c r="AG12" s="2"/>
      <c r="AH12" s="2"/>
      <c r="AI12" s="2" t="s">
        <v>63</v>
      </c>
      <c r="AJ12" s="5" t="s">
        <v>60</v>
      </c>
      <c r="AK12" s="5">
        <v>44318</v>
      </c>
      <c r="AL12" s="5">
        <v>47118</v>
      </c>
      <c r="AM12" s="5">
        <v>45641</v>
      </c>
      <c r="AN12" s="2">
        <v>47467</v>
      </c>
      <c r="AO12" s="2" t="s">
        <v>66</v>
      </c>
      <c r="AP12" s="2" t="s">
        <v>67</v>
      </c>
      <c r="AQ12" s="2" t="s">
        <v>68</v>
      </c>
    </row>
    <row r="13" spans="1:43" ht="27.95">
      <c r="A13" s="2" t="s">
        <v>213</v>
      </c>
      <c r="B13" s="2" t="s">
        <v>214</v>
      </c>
      <c r="C13" s="2" t="s">
        <v>215</v>
      </c>
      <c r="D13" s="2" t="s">
        <v>216</v>
      </c>
      <c r="E13" s="2" t="s">
        <v>217</v>
      </c>
      <c r="F13" s="2" t="s">
        <v>48</v>
      </c>
      <c r="G13" s="2" t="s">
        <v>74</v>
      </c>
      <c r="H13" s="2" t="s">
        <v>116</v>
      </c>
      <c r="I13" s="2" t="s">
        <v>50</v>
      </c>
      <c r="J13" s="2" t="s">
        <v>51</v>
      </c>
      <c r="K13" s="2" t="s">
        <v>52</v>
      </c>
      <c r="L13" s="2" t="s">
        <v>218</v>
      </c>
      <c r="M13" s="2" t="s">
        <v>219</v>
      </c>
      <c r="N13" s="2" t="s">
        <v>90</v>
      </c>
      <c r="O13" s="2" t="s">
        <v>220</v>
      </c>
      <c r="P13" s="2" t="s">
        <v>221</v>
      </c>
      <c r="Q13" s="2" t="s">
        <v>78</v>
      </c>
      <c r="R13" s="2" t="s">
        <v>79</v>
      </c>
      <c r="S13" s="2" t="s">
        <v>222</v>
      </c>
      <c r="T13" s="2" t="s">
        <v>63</v>
      </c>
      <c r="U13" s="2" t="s">
        <v>223</v>
      </c>
      <c r="V13" s="2" t="s">
        <v>61</v>
      </c>
      <c r="W13" s="2" t="s">
        <v>63</v>
      </c>
      <c r="X13" s="2" t="s">
        <v>224</v>
      </c>
      <c r="Y13" s="2" t="s">
        <v>79</v>
      </c>
      <c r="Z13" s="5">
        <v>43831</v>
      </c>
      <c r="AA13" s="5">
        <v>46415</v>
      </c>
      <c r="AB13" s="2" t="s">
        <v>60</v>
      </c>
      <c r="AC13" s="2" t="s">
        <v>50</v>
      </c>
      <c r="AD13" s="2" t="s">
        <v>63</v>
      </c>
      <c r="AE13" s="2" t="s">
        <v>64</v>
      </c>
      <c r="AF13" s="2" t="s">
        <v>65</v>
      </c>
      <c r="AG13" s="2"/>
      <c r="AH13" s="2"/>
      <c r="AI13" s="2" t="s">
        <v>63</v>
      </c>
      <c r="AJ13" s="5" t="s">
        <v>60</v>
      </c>
      <c r="AK13" s="5">
        <v>44329</v>
      </c>
      <c r="AL13" s="5">
        <v>47118</v>
      </c>
      <c r="AM13" s="5">
        <v>44576</v>
      </c>
      <c r="AN13" s="2">
        <v>46402</v>
      </c>
      <c r="AO13" s="2" t="s">
        <v>66</v>
      </c>
      <c r="AP13" s="2" t="s">
        <v>67</v>
      </c>
      <c r="AQ13" s="2" t="s">
        <v>68</v>
      </c>
    </row>
    <row r="14" spans="1:43" ht="27.95">
      <c r="A14" s="2" t="s">
        <v>225</v>
      </c>
      <c r="B14" s="2" t="s">
        <v>226</v>
      </c>
      <c r="C14" s="2" t="s">
        <v>227</v>
      </c>
      <c r="D14" s="2" t="s">
        <v>228</v>
      </c>
      <c r="E14" s="2" t="s">
        <v>229</v>
      </c>
      <c r="F14" s="2" t="s">
        <v>48</v>
      </c>
      <c r="G14" s="2" t="s">
        <v>87</v>
      </c>
      <c r="H14" s="2"/>
      <c r="I14" s="2" t="s">
        <v>50</v>
      </c>
      <c r="J14" s="2" t="s">
        <v>51</v>
      </c>
      <c r="K14" s="2" t="s">
        <v>52</v>
      </c>
      <c r="L14" s="2" t="s">
        <v>230</v>
      </c>
      <c r="M14" s="2"/>
      <c r="N14" s="2" t="s">
        <v>54</v>
      </c>
      <c r="O14" s="2" t="s">
        <v>231</v>
      </c>
      <c r="P14" s="2" t="s">
        <v>232</v>
      </c>
      <c r="Q14" s="2" t="s">
        <v>93</v>
      </c>
      <c r="R14" s="2" t="s">
        <v>94</v>
      </c>
      <c r="S14" s="2" t="s">
        <v>233</v>
      </c>
      <c r="T14" s="2" t="s">
        <v>60</v>
      </c>
      <c r="U14" s="2"/>
      <c r="V14" s="2" t="s">
        <v>61</v>
      </c>
      <c r="W14" s="2" t="s">
        <v>60</v>
      </c>
      <c r="X14" s="2" t="s">
        <v>234</v>
      </c>
      <c r="Y14" s="2" t="s">
        <v>94</v>
      </c>
      <c r="Z14" s="5">
        <v>44228</v>
      </c>
      <c r="AA14" s="5">
        <v>46811</v>
      </c>
      <c r="AB14" s="2" t="s">
        <v>60</v>
      </c>
      <c r="AC14" s="2" t="s">
        <v>50</v>
      </c>
      <c r="AD14" s="2" t="s">
        <v>63</v>
      </c>
      <c r="AE14" s="2" t="s">
        <v>64</v>
      </c>
      <c r="AF14" s="2" t="s">
        <v>65</v>
      </c>
      <c r="AG14" s="2"/>
      <c r="AH14" s="2"/>
      <c r="AI14" s="2" t="s">
        <v>63</v>
      </c>
      <c r="AJ14" s="5" t="s">
        <v>60</v>
      </c>
      <c r="AK14" s="5">
        <v>44340</v>
      </c>
      <c r="AL14" s="5">
        <v>47118</v>
      </c>
      <c r="AM14" s="5">
        <v>44972</v>
      </c>
      <c r="AN14" s="2">
        <v>46798</v>
      </c>
      <c r="AO14" s="2" t="s">
        <v>66</v>
      </c>
      <c r="AP14" s="2" t="s">
        <v>67</v>
      </c>
      <c r="AQ14" s="2" t="s">
        <v>68</v>
      </c>
    </row>
    <row r="15" spans="1:43" ht="27.95">
      <c r="A15" s="2" t="s">
        <v>235</v>
      </c>
      <c r="B15" s="2" t="s">
        <v>236</v>
      </c>
      <c r="C15" s="2" t="s">
        <v>237</v>
      </c>
      <c r="D15" s="2" t="s">
        <v>238</v>
      </c>
      <c r="E15" s="2" t="s">
        <v>239</v>
      </c>
      <c r="F15" s="2" t="s">
        <v>48</v>
      </c>
      <c r="G15" s="2" t="s">
        <v>102</v>
      </c>
      <c r="H15" s="2"/>
      <c r="I15" s="2" t="s">
        <v>50</v>
      </c>
      <c r="J15" s="2" t="s">
        <v>51</v>
      </c>
      <c r="K15" s="2" t="s">
        <v>52</v>
      </c>
      <c r="L15" s="2" t="s">
        <v>240</v>
      </c>
      <c r="M15" s="2"/>
      <c r="N15" s="2" t="s">
        <v>54</v>
      </c>
      <c r="O15" s="2" t="s">
        <v>241</v>
      </c>
      <c r="P15" s="2" t="s">
        <v>242</v>
      </c>
      <c r="Q15" s="2" t="s">
        <v>107</v>
      </c>
      <c r="R15" s="2" t="s">
        <v>108</v>
      </c>
      <c r="S15" s="2" t="s">
        <v>243</v>
      </c>
      <c r="T15" s="2" t="s">
        <v>60</v>
      </c>
      <c r="U15" s="2"/>
      <c r="V15" s="2" t="s">
        <v>61</v>
      </c>
      <c r="W15" s="2" t="s">
        <v>60</v>
      </c>
      <c r="X15" s="2" t="s">
        <v>244</v>
      </c>
      <c r="Y15" s="2" t="s">
        <v>108</v>
      </c>
      <c r="Z15" s="5">
        <v>44621</v>
      </c>
      <c r="AA15" s="5">
        <v>46474</v>
      </c>
      <c r="AB15" s="2" t="s">
        <v>60</v>
      </c>
      <c r="AC15" s="2" t="s">
        <v>50</v>
      </c>
      <c r="AD15" s="2" t="s">
        <v>63</v>
      </c>
      <c r="AE15" s="2" t="s">
        <v>64</v>
      </c>
      <c r="AF15" s="2" t="s">
        <v>157</v>
      </c>
      <c r="AG15" s="2" t="s">
        <v>245</v>
      </c>
      <c r="AH15" s="2" t="s">
        <v>246</v>
      </c>
      <c r="AI15" s="2" t="s">
        <v>63</v>
      </c>
      <c r="AJ15" s="5" t="s">
        <v>60</v>
      </c>
      <c r="AK15" s="5">
        <v>44351</v>
      </c>
      <c r="AL15" s="5">
        <v>47118</v>
      </c>
      <c r="AM15" s="5">
        <v>45366</v>
      </c>
      <c r="AN15" s="2">
        <v>47192</v>
      </c>
      <c r="AO15" s="2" t="s">
        <v>66</v>
      </c>
      <c r="AP15" s="2" t="s">
        <v>67</v>
      </c>
      <c r="AQ15" s="2" t="s">
        <v>68</v>
      </c>
    </row>
    <row r="16" spans="1:43" ht="27.95">
      <c r="A16" s="2" t="s">
        <v>247</v>
      </c>
      <c r="B16" s="2" t="s">
        <v>248</v>
      </c>
      <c r="C16" s="2" t="s">
        <v>249</v>
      </c>
      <c r="D16" s="2" t="s">
        <v>250</v>
      </c>
      <c r="E16" s="2" t="s">
        <v>251</v>
      </c>
      <c r="F16" s="2" t="s">
        <v>48</v>
      </c>
      <c r="G16" s="2" t="s">
        <v>116</v>
      </c>
      <c r="H16" s="2"/>
      <c r="I16" s="2" t="s">
        <v>50</v>
      </c>
      <c r="J16" s="2" t="s">
        <v>51</v>
      </c>
      <c r="K16" s="2" t="s">
        <v>52</v>
      </c>
      <c r="L16" s="2" t="s">
        <v>252</v>
      </c>
      <c r="M16" s="2" t="s">
        <v>253</v>
      </c>
      <c r="N16" s="2" t="s">
        <v>90</v>
      </c>
      <c r="O16" s="2" t="s">
        <v>254</v>
      </c>
      <c r="P16" s="2" t="s">
        <v>255</v>
      </c>
      <c r="Q16" s="2" t="s">
        <v>122</v>
      </c>
      <c r="R16" s="2" t="s">
        <v>123</v>
      </c>
      <c r="S16" s="2" t="s">
        <v>256</v>
      </c>
      <c r="T16" s="2" t="s">
        <v>60</v>
      </c>
      <c r="U16" s="2"/>
      <c r="V16" s="2" t="s">
        <v>61</v>
      </c>
      <c r="W16" s="2" t="s">
        <v>63</v>
      </c>
      <c r="X16" s="2" t="s">
        <v>257</v>
      </c>
      <c r="Y16" s="2" t="s">
        <v>123</v>
      </c>
      <c r="Z16" s="5">
        <v>43191</v>
      </c>
      <c r="AA16" s="5">
        <v>46871</v>
      </c>
      <c r="AB16" s="2" t="s">
        <v>63</v>
      </c>
      <c r="AC16" s="2" t="s">
        <v>126</v>
      </c>
      <c r="AD16" s="2" t="s">
        <v>63</v>
      </c>
      <c r="AE16" s="2" t="s">
        <v>64</v>
      </c>
      <c r="AF16" s="2" t="s">
        <v>127</v>
      </c>
      <c r="AG16" s="2" t="s">
        <v>258</v>
      </c>
      <c r="AH16" s="2" t="s">
        <v>259</v>
      </c>
      <c r="AI16" s="2" t="s">
        <v>63</v>
      </c>
      <c r="AJ16" s="5" t="s">
        <v>60</v>
      </c>
      <c r="AK16" s="5">
        <v>44362</v>
      </c>
      <c r="AL16" s="5">
        <v>47118</v>
      </c>
      <c r="AM16" s="5">
        <v>44666</v>
      </c>
      <c r="AN16" s="2">
        <v>46492</v>
      </c>
      <c r="AO16" s="2" t="s">
        <v>66</v>
      </c>
      <c r="AP16" s="2" t="s">
        <v>67</v>
      </c>
      <c r="AQ16" s="2" t="s">
        <v>68</v>
      </c>
    </row>
    <row r="17" spans="1:43" ht="27.95">
      <c r="A17" s="2" t="s">
        <v>260</v>
      </c>
      <c r="B17" s="2" t="s">
        <v>261</v>
      </c>
      <c r="C17" s="2" t="s">
        <v>262</v>
      </c>
      <c r="D17" s="2" t="s">
        <v>263</v>
      </c>
      <c r="E17" s="2" t="s">
        <v>264</v>
      </c>
      <c r="F17" s="2" t="s">
        <v>48</v>
      </c>
      <c r="G17" s="2" t="s">
        <v>135</v>
      </c>
      <c r="H17" s="2" t="s">
        <v>179</v>
      </c>
      <c r="I17" s="2" t="s">
        <v>50</v>
      </c>
      <c r="J17" s="2" t="s">
        <v>51</v>
      </c>
      <c r="K17" s="2" t="s">
        <v>52</v>
      </c>
      <c r="L17" s="2" t="s">
        <v>265</v>
      </c>
      <c r="M17" s="2"/>
      <c r="N17" s="2" t="s">
        <v>54</v>
      </c>
      <c r="O17" s="2" t="s">
        <v>266</v>
      </c>
      <c r="P17" s="2" t="s">
        <v>267</v>
      </c>
      <c r="Q17" s="2" t="s">
        <v>140</v>
      </c>
      <c r="R17" s="2" t="s">
        <v>141</v>
      </c>
      <c r="S17" s="2" t="s">
        <v>268</v>
      </c>
      <c r="T17" s="2" t="s">
        <v>60</v>
      </c>
      <c r="U17" s="2"/>
      <c r="V17" s="2" t="s">
        <v>172</v>
      </c>
      <c r="W17" s="2" t="s">
        <v>60</v>
      </c>
      <c r="X17" s="2" t="s">
        <v>269</v>
      </c>
      <c r="Y17" s="2" t="s">
        <v>141</v>
      </c>
      <c r="Z17" s="5">
        <v>43586</v>
      </c>
      <c r="AA17" s="5">
        <v>46535</v>
      </c>
      <c r="AB17" s="2" t="s">
        <v>63</v>
      </c>
      <c r="AC17" s="2" t="s">
        <v>126</v>
      </c>
      <c r="AD17" s="2" t="s">
        <v>63</v>
      </c>
      <c r="AE17" s="2" t="s">
        <v>64</v>
      </c>
      <c r="AF17" s="2" t="s">
        <v>65</v>
      </c>
      <c r="AG17" s="2"/>
      <c r="AH17" s="2"/>
      <c r="AI17" s="2" t="s">
        <v>63</v>
      </c>
      <c r="AJ17" s="5" t="s">
        <v>60</v>
      </c>
      <c r="AK17" s="5">
        <v>44373</v>
      </c>
      <c r="AL17" s="5">
        <v>47118</v>
      </c>
      <c r="AM17" s="5">
        <v>45061</v>
      </c>
      <c r="AN17" s="2">
        <v>46888</v>
      </c>
      <c r="AO17" s="2" t="s">
        <v>66</v>
      </c>
      <c r="AP17" s="2" t="s">
        <v>67</v>
      </c>
      <c r="AQ17" s="2" t="s">
        <v>68</v>
      </c>
    </row>
    <row r="18" spans="1:43" ht="27.95">
      <c r="A18" s="2" t="s">
        <v>270</v>
      </c>
      <c r="B18" s="2" t="s">
        <v>271</v>
      </c>
      <c r="C18" s="2" t="s">
        <v>272</v>
      </c>
      <c r="D18" s="2" t="s">
        <v>273</v>
      </c>
      <c r="E18" s="2" t="s">
        <v>274</v>
      </c>
      <c r="F18" s="2" t="s">
        <v>48</v>
      </c>
      <c r="G18" s="2" t="s">
        <v>103</v>
      </c>
      <c r="H18" s="2"/>
      <c r="I18" s="2" t="s">
        <v>117</v>
      </c>
      <c r="J18" s="2" t="s">
        <v>118</v>
      </c>
      <c r="K18" s="2" t="s">
        <v>52</v>
      </c>
      <c r="L18" s="2" t="s">
        <v>275</v>
      </c>
      <c r="M18" s="2"/>
      <c r="N18" s="2" t="s">
        <v>54</v>
      </c>
      <c r="O18" s="2" t="s">
        <v>276</v>
      </c>
      <c r="P18" s="2" t="s">
        <v>277</v>
      </c>
      <c r="Q18" s="2" t="s">
        <v>153</v>
      </c>
      <c r="R18" s="2" t="s">
        <v>154</v>
      </c>
      <c r="S18" s="2" t="s">
        <v>278</v>
      </c>
      <c r="T18" s="2" t="s">
        <v>60</v>
      </c>
      <c r="U18" s="2"/>
      <c r="V18" s="2" t="s">
        <v>61</v>
      </c>
      <c r="W18" s="2" t="s">
        <v>60</v>
      </c>
      <c r="X18" s="2" t="s">
        <v>279</v>
      </c>
      <c r="Y18" s="2" t="s">
        <v>154</v>
      </c>
      <c r="Z18" s="5">
        <v>43983</v>
      </c>
      <c r="AA18" s="5">
        <v>46932</v>
      </c>
      <c r="AB18" s="2" t="s">
        <v>63</v>
      </c>
      <c r="AC18" s="2" t="s">
        <v>126</v>
      </c>
      <c r="AD18" s="2" t="s">
        <v>63</v>
      </c>
      <c r="AE18" s="2" t="s">
        <v>64</v>
      </c>
      <c r="AF18" s="2" t="s">
        <v>65</v>
      </c>
      <c r="AG18" s="2"/>
      <c r="AH18" s="2"/>
      <c r="AI18" s="2" t="s">
        <v>63</v>
      </c>
      <c r="AJ18" s="5" t="s">
        <v>60</v>
      </c>
      <c r="AK18" s="5">
        <v>44384</v>
      </c>
      <c r="AL18" s="5">
        <v>47118</v>
      </c>
      <c r="AM18" s="5">
        <v>45458</v>
      </c>
      <c r="AN18" s="2">
        <v>47284</v>
      </c>
      <c r="AO18" s="2" t="s">
        <v>66</v>
      </c>
      <c r="AP18" s="2" t="s">
        <v>67</v>
      </c>
      <c r="AQ18" s="2" t="s">
        <v>68</v>
      </c>
    </row>
    <row r="19" spans="1:43" ht="27.95">
      <c r="A19" s="2" t="s">
        <v>280</v>
      </c>
      <c r="B19" s="2" t="s">
        <v>281</v>
      </c>
      <c r="C19" s="2" t="s">
        <v>282</v>
      </c>
      <c r="D19" s="2" t="s">
        <v>283</v>
      </c>
      <c r="E19" s="2" t="s">
        <v>284</v>
      </c>
      <c r="F19" s="2" t="s">
        <v>48</v>
      </c>
      <c r="G19" s="2" t="s">
        <v>165</v>
      </c>
      <c r="H19" s="2"/>
      <c r="I19" s="2" t="s">
        <v>50</v>
      </c>
      <c r="J19" s="2" t="s">
        <v>51</v>
      </c>
      <c r="K19" s="2" t="s">
        <v>52</v>
      </c>
      <c r="L19" s="2" t="s">
        <v>285</v>
      </c>
      <c r="M19" s="2" t="s">
        <v>286</v>
      </c>
      <c r="N19" s="2" t="s">
        <v>90</v>
      </c>
      <c r="O19" s="2" t="s">
        <v>287</v>
      </c>
      <c r="P19" s="2" t="s">
        <v>288</v>
      </c>
      <c r="Q19" s="2" t="s">
        <v>169</v>
      </c>
      <c r="R19" s="2" t="s">
        <v>170</v>
      </c>
      <c r="S19" s="2" t="s">
        <v>289</v>
      </c>
      <c r="T19" s="2" t="s">
        <v>63</v>
      </c>
      <c r="U19" s="2" t="s">
        <v>290</v>
      </c>
      <c r="V19" s="2" t="s">
        <v>61</v>
      </c>
      <c r="W19" s="2" t="s">
        <v>63</v>
      </c>
      <c r="X19" s="2" t="s">
        <v>291</v>
      </c>
      <c r="Y19" s="2" t="s">
        <v>170</v>
      </c>
      <c r="Z19" s="5">
        <v>44378</v>
      </c>
      <c r="AA19" s="5">
        <v>46596</v>
      </c>
      <c r="AB19" s="2" t="s">
        <v>63</v>
      </c>
      <c r="AC19" s="2" t="s">
        <v>126</v>
      </c>
      <c r="AD19" s="2" t="s">
        <v>63</v>
      </c>
      <c r="AE19" s="2" t="s">
        <v>64</v>
      </c>
      <c r="AF19" s="2" t="s">
        <v>65</v>
      </c>
      <c r="AG19" s="2"/>
      <c r="AH19" s="2"/>
      <c r="AI19" s="2" t="s">
        <v>60</v>
      </c>
      <c r="AJ19" s="5" t="s">
        <v>60</v>
      </c>
      <c r="AK19" s="5">
        <v>44395</v>
      </c>
      <c r="AL19" s="5">
        <v>47118</v>
      </c>
      <c r="AM19" s="5">
        <v>44757</v>
      </c>
      <c r="AN19" s="2">
        <v>46583</v>
      </c>
      <c r="AO19" s="2" t="s">
        <v>66</v>
      </c>
      <c r="AP19" s="2" t="s">
        <v>67</v>
      </c>
      <c r="AQ19" s="2" t="s">
        <v>68</v>
      </c>
    </row>
    <row r="20" spans="1:43" ht="27.95">
      <c r="A20" s="2" t="s">
        <v>292</v>
      </c>
      <c r="B20" s="2" t="s">
        <v>293</v>
      </c>
      <c r="C20" s="2" t="s">
        <v>294</v>
      </c>
      <c r="D20" s="2" t="s">
        <v>295</v>
      </c>
      <c r="E20" s="2" t="s">
        <v>296</v>
      </c>
      <c r="F20" s="2" t="s">
        <v>48</v>
      </c>
      <c r="G20" s="2" t="s">
        <v>179</v>
      </c>
      <c r="H20" s="2"/>
      <c r="I20" s="2" t="s">
        <v>50</v>
      </c>
      <c r="J20" s="2" t="s">
        <v>51</v>
      </c>
      <c r="K20" s="2" t="s">
        <v>52</v>
      </c>
      <c r="L20" s="2" t="s">
        <v>297</v>
      </c>
      <c r="M20" s="2"/>
      <c r="N20" s="2" t="s">
        <v>54</v>
      </c>
      <c r="O20" s="2" t="s">
        <v>298</v>
      </c>
      <c r="P20" s="2" t="s">
        <v>299</v>
      </c>
      <c r="Q20" s="2" t="s">
        <v>184</v>
      </c>
      <c r="R20" s="2" t="s">
        <v>185</v>
      </c>
      <c r="S20" s="2" t="s">
        <v>300</v>
      </c>
      <c r="T20" s="2" t="s">
        <v>60</v>
      </c>
      <c r="U20" s="2"/>
      <c r="V20" s="2" t="s">
        <v>61</v>
      </c>
      <c r="W20" s="2" t="s">
        <v>60</v>
      </c>
      <c r="X20" s="2" t="s">
        <v>301</v>
      </c>
      <c r="Y20" s="2" t="s">
        <v>185</v>
      </c>
      <c r="Z20" s="5">
        <v>44774</v>
      </c>
      <c r="AA20" s="5">
        <v>46993</v>
      </c>
      <c r="AB20" s="2" t="s">
        <v>63</v>
      </c>
      <c r="AC20" s="2" t="s">
        <v>126</v>
      </c>
      <c r="AD20" s="2" t="s">
        <v>63</v>
      </c>
      <c r="AE20" s="2" t="s">
        <v>64</v>
      </c>
      <c r="AF20" s="2" t="s">
        <v>65</v>
      </c>
      <c r="AG20" s="2"/>
      <c r="AH20" s="2"/>
      <c r="AI20" s="2" t="s">
        <v>63</v>
      </c>
      <c r="AJ20" s="5" t="s">
        <v>60</v>
      </c>
      <c r="AK20" s="5">
        <v>44406</v>
      </c>
      <c r="AL20" s="5">
        <v>47118</v>
      </c>
      <c r="AM20" s="5">
        <v>45153</v>
      </c>
      <c r="AN20" s="2">
        <v>46980</v>
      </c>
      <c r="AO20" s="2" t="s">
        <v>66</v>
      </c>
      <c r="AP20" s="2" t="s">
        <v>67</v>
      </c>
      <c r="AQ20" s="2" t="s">
        <v>68</v>
      </c>
    </row>
    <row r="21" spans="1:43" ht="27.95">
      <c r="A21" s="2" t="s">
        <v>302</v>
      </c>
      <c r="B21" s="2" t="s">
        <v>303</v>
      </c>
      <c r="C21" s="2" t="s">
        <v>304</v>
      </c>
      <c r="D21" s="2" t="s">
        <v>305</v>
      </c>
      <c r="E21" s="2" t="s">
        <v>306</v>
      </c>
      <c r="F21" s="2" t="s">
        <v>48</v>
      </c>
      <c r="G21" s="2" t="s">
        <v>193</v>
      </c>
      <c r="H21" s="2" t="s">
        <v>87</v>
      </c>
      <c r="I21" s="2" t="s">
        <v>50</v>
      </c>
      <c r="J21" s="2" t="s">
        <v>51</v>
      </c>
      <c r="K21" s="2" t="s">
        <v>52</v>
      </c>
      <c r="L21" s="2" t="s">
        <v>307</v>
      </c>
      <c r="M21" s="2"/>
      <c r="N21" s="2" t="s">
        <v>54</v>
      </c>
      <c r="O21" s="2" t="s">
        <v>308</v>
      </c>
      <c r="P21" s="2" t="s">
        <v>309</v>
      </c>
      <c r="Q21" s="2" t="s">
        <v>197</v>
      </c>
      <c r="R21" s="2" t="s">
        <v>198</v>
      </c>
      <c r="S21" s="2" t="s">
        <v>310</v>
      </c>
      <c r="T21" s="2" t="s">
        <v>60</v>
      </c>
      <c r="U21" s="2"/>
      <c r="V21" s="2" t="s">
        <v>61</v>
      </c>
      <c r="W21" s="2" t="s">
        <v>60</v>
      </c>
      <c r="X21" s="2" t="s">
        <v>311</v>
      </c>
      <c r="Y21" s="2" t="s">
        <v>198</v>
      </c>
      <c r="Z21" s="5">
        <v>43344</v>
      </c>
      <c r="AA21" s="5">
        <v>46658</v>
      </c>
      <c r="AB21" s="2" t="s">
        <v>60</v>
      </c>
      <c r="AC21" s="2" t="s">
        <v>50</v>
      </c>
      <c r="AD21" s="2" t="s">
        <v>63</v>
      </c>
      <c r="AE21" s="2" t="s">
        <v>64</v>
      </c>
      <c r="AF21" s="2" t="s">
        <v>127</v>
      </c>
      <c r="AG21" s="2" t="s">
        <v>312</v>
      </c>
      <c r="AH21" s="2" t="s">
        <v>313</v>
      </c>
      <c r="AI21" s="2" t="s">
        <v>63</v>
      </c>
      <c r="AJ21" s="5" t="s">
        <v>60</v>
      </c>
      <c r="AK21" s="5">
        <v>44417</v>
      </c>
      <c r="AL21" s="5">
        <v>47118</v>
      </c>
      <c r="AM21" s="5">
        <v>45550</v>
      </c>
      <c r="AN21" s="2">
        <v>47376</v>
      </c>
      <c r="AO21" s="2" t="s">
        <v>66</v>
      </c>
      <c r="AP21" s="2" t="s">
        <v>67</v>
      </c>
      <c r="AQ21" s="2" t="s">
        <v>68</v>
      </c>
    </row>
    <row r="22" spans="1:43" ht="27.95">
      <c r="A22" s="2" t="s">
        <v>314</v>
      </c>
      <c r="B22" s="2" t="s">
        <v>315</v>
      </c>
      <c r="C22" s="2" t="s">
        <v>316</v>
      </c>
      <c r="D22" s="2" t="s">
        <v>317</v>
      </c>
      <c r="E22" s="2" t="s">
        <v>47</v>
      </c>
      <c r="F22" s="2" t="s">
        <v>48</v>
      </c>
      <c r="G22" s="2" t="s">
        <v>49</v>
      </c>
      <c r="H22" s="2"/>
      <c r="I22" s="2" t="s">
        <v>50</v>
      </c>
      <c r="J22" s="2" t="s">
        <v>51</v>
      </c>
      <c r="K22" s="2" t="s">
        <v>52</v>
      </c>
      <c r="L22" s="2" t="s">
        <v>318</v>
      </c>
      <c r="M22" s="2" t="s">
        <v>319</v>
      </c>
      <c r="N22" s="2" t="s">
        <v>90</v>
      </c>
      <c r="O22" s="2" t="s">
        <v>55</v>
      </c>
      <c r="P22" s="2" t="s">
        <v>320</v>
      </c>
      <c r="Q22" s="2" t="s">
        <v>57</v>
      </c>
      <c r="R22" s="2" t="s">
        <v>58</v>
      </c>
      <c r="S22" s="2" t="s">
        <v>321</v>
      </c>
      <c r="T22" s="2" t="s">
        <v>60</v>
      </c>
      <c r="U22" s="2"/>
      <c r="V22" s="2" t="s">
        <v>61</v>
      </c>
      <c r="W22" s="2" t="s">
        <v>63</v>
      </c>
      <c r="X22" s="2" t="s">
        <v>322</v>
      </c>
      <c r="Y22" s="2" t="s">
        <v>58</v>
      </c>
      <c r="Z22" s="5">
        <v>43739</v>
      </c>
      <c r="AA22" s="5">
        <v>47054</v>
      </c>
      <c r="AB22" s="2" t="s">
        <v>60</v>
      </c>
      <c r="AC22" s="2" t="s">
        <v>50</v>
      </c>
      <c r="AD22" s="2" t="s">
        <v>63</v>
      </c>
      <c r="AE22" s="2" t="s">
        <v>64</v>
      </c>
      <c r="AF22" s="2" t="s">
        <v>157</v>
      </c>
      <c r="AG22" s="2" t="s">
        <v>323</v>
      </c>
      <c r="AH22" s="2" t="s">
        <v>324</v>
      </c>
      <c r="AI22" s="2" t="s">
        <v>63</v>
      </c>
      <c r="AJ22" s="5" t="s">
        <v>60</v>
      </c>
      <c r="AK22" s="5">
        <v>44428</v>
      </c>
      <c r="AL22" s="5">
        <v>47118</v>
      </c>
      <c r="AM22" s="5">
        <v>44849</v>
      </c>
      <c r="AN22" s="2">
        <v>46675</v>
      </c>
      <c r="AO22" s="2" t="s">
        <v>66</v>
      </c>
      <c r="AP22" s="2" t="s">
        <v>67</v>
      </c>
      <c r="AQ22" s="2" t="s">
        <v>68</v>
      </c>
    </row>
    <row r="23" spans="1:43" ht="27.95">
      <c r="A23" s="2" t="s">
        <v>325</v>
      </c>
      <c r="B23" s="2" t="s">
        <v>326</v>
      </c>
      <c r="C23" s="2" t="s">
        <v>327</v>
      </c>
      <c r="D23" s="2" t="s">
        <v>328</v>
      </c>
      <c r="E23" s="2" t="s">
        <v>73</v>
      </c>
      <c r="F23" s="2" t="s">
        <v>48</v>
      </c>
      <c r="G23" s="2" t="s">
        <v>74</v>
      </c>
      <c r="H23" s="2"/>
      <c r="I23" s="2" t="s">
        <v>50</v>
      </c>
      <c r="J23" s="2" t="s">
        <v>51</v>
      </c>
      <c r="K23" s="2" t="s">
        <v>52</v>
      </c>
      <c r="L23" s="2" t="s">
        <v>329</v>
      </c>
      <c r="M23" s="2"/>
      <c r="N23" s="2" t="s">
        <v>54</v>
      </c>
      <c r="O23" s="2" t="s">
        <v>76</v>
      </c>
      <c r="P23" s="2" t="s">
        <v>330</v>
      </c>
      <c r="Q23" s="2" t="s">
        <v>78</v>
      </c>
      <c r="R23" s="2" t="s">
        <v>79</v>
      </c>
      <c r="S23" s="2" t="s">
        <v>331</v>
      </c>
      <c r="T23" s="2" t="s">
        <v>60</v>
      </c>
      <c r="U23" s="2"/>
      <c r="V23" s="2" t="s">
        <v>61</v>
      </c>
      <c r="W23" s="2" t="s">
        <v>60</v>
      </c>
      <c r="X23" s="2" t="s">
        <v>332</v>
      </c>
      <c r="Y23" s="2" t="s">
        <v>79</v>
      </c>
      <c r="Z23" s="5">
        <v>44136</v>
      </c>
      <c r="AA23" s="5">
        <v>46719</v>
      </c>
      <c r="AB23" s="2" t="s">
        <v>60</v>
      </c>
      <c r="AC23" s="2" t="s">
        <v>50</v>
      </c>
      <c r="AD23" s="2" t="s">
        <v>63</v>
      </c>
      <c r="AE23" s="2" t="s">
        <v>64</v>
      </c>
      <c r="AF23" s="2" t="s">
        <v>65</v>
      </c>
      <c r="AG23" s="2"/>
      <c r="AH23" s="2"/>
      <c r="AI23" s="2" t="s">
        <v>63</v>
      </c>
      <c r="AJ23" s="5" t="s">
        <v>60</v>
      </c>
      <c r="AK23" s="5">
        <v>44439</v>
      </c>
      <c r="AL23" s="5">
        <v>47118</v>
      </c>
      <c r="AM23" s="5">
        <v>45245</v>
      </c>
      <c r="AN23" s="2">
        <v>47072</v>
      </c>
      <c r="AO23" s="2" t="s">
        <v>66</v>
      </c>
      <c r="AP23" s="2" t="s">
        <v>67</v>
      </c>
      <c r="AQ23" s="2" t="s">
        <v>68</v>
      </c>
    </row>
    <row r="24" spans="1:43" ht="27.95">
      <c r="A24" s="2" t="s">
        <v>333</v>
      </c>
      <c r="B24" s="2" t="s">
        <v>334</v>
      </c>
      <c r="C24" s="2" t="s">
        <v>335</v>
      </c>
      <c r="D24" s="2" t="s">
        <v>336</v>
      </c>
      <c r="E24" s="2" t="s">
        <v>86</v>
      </c>
      <c r="F24" s="2" t="s">
        <v>48</v>
      </c>
      <c r="G24" s="2" t="s">
        <v>87</v>
      </c>
      <c r="H24" s="2"/>
      <c r="I24" s="2" t="s">
        <v>117</v>
      </c>
      <c r="J24" s="2" t="s">
        <v>118</v>
      </c>
      <c r="K24" s="2" t="s">
        <v>52</v>
      </c>
      <c r="L24" s="2" t="s">
        <v>337</v>
      </c>
      <c r="M24" s="2"/>
      <c r="N24" s="2" t="s">
        <v>54</v>
      </c>
      <c r="O24" s="2" t="s">
        <v>91</v>
      </c>
      <c r="P24" s="2" t="s">
        <v>338</v>
      </c>
      <c r="Q24" s="2" t="s">
        <v>93</v>
      </c>
      <c r="R24" s="2" t="s">
        <v>94</v>
      </c>
      <c r="S24" s="2" t="s">
        <v>339</v>
      </c>
      <c r="T24" s="2" t="s">
        <v>60</v>
      </c>
      <c r="U24" s="2"/>
      <c r="V24" s="2" t="s">
        <v>61</v>
      </c>
      <c r="W24" s="2" t="s">
        <v>60</v>
      </c>
      <c r="X24" s="2" t="s">
        <v>340</v>
      </c>
      <c r="Y24" s="2" t="s">
        <v>94</v>
      </c>
      <c r="Z24" s="5">
        <v>44531</v>
      </c>
      <c r="AA24" s="5">
        <v>47115</v>
      </c>
      <c r="AB24" s="2" t="s">
        <v>60</v>
      </c>
      <c r="AC24" s="2" t="s">
        <v>50</v>
      </c>
      <c r="AD24" s="2" t="s">
        <v>63</v>
      </c>
      <c r="AE24" s="2" t="s">
        <v>64</v>
      </c>
      <c r="AF24" s="2" t="s">
        <v>65</v>
      </c>
      <c r="AG24" s="2"/>
      <c r="AH24" s="2"/>
      <c r="AI24" s="2" t="s">
        <v>63</v>
      </c>
      <c r="AJ24" s="5" t="s">
        <v>60</v>
      </c>
      <c r="AK24" s="5">
        <v>44450</v>
      </c>
      <c r="AL24" s="5">
        <v>47118</v>
      </c>
      <c r="AM24" s="5">
        <v>45641</v>
      </c>
      <c r="AN24" s="2">
        <v>47467</v>
      </c>
      <c r="AO24" s="2" t="s">
        <v>66</v>
      </c>
      <c r="AP24" s="2" t="s">
        <v>67</v>
      </c>
      <c r="AQ24" s="2" t="s">
        <v>68</v>
      </c>
    </row>
    <row r="25" spans="1:43" ht="27.95">
      <c r="A25" s="2" t="s">
        <v>341</v>
      </c>
      <c r="B25" s="2" t="s">
        <v>342</v>
      </c>
      <c r="C25" s="2" t="s">
        <v>343</v>
      </c>
      <c r="D25" s="2" t="s">
        <v>344</v>
      </c>
      <c r="E25" s="2" t="s">
        <v>101</v>
      </c>
      <c r="F25" s="2" t="s">
        <v>48</v>
      </c>
      <c r="G25" s="2" t="s">
        <v>102</v>
      </c>
      <c r="H25" s="2" t="s">
        <v>103</v>
      </c>
      <c r="I25" s="2" t="s">
        <v>50</v>
      </c>
      <c r="J25" s="2" t="s">
        <v>51</v>
      </c>
      <c r="K25" s="2" t="s">
        <v>52</v>
      </c>
      <c r="L25" s="2" t="s">
        <v>345</v>
      </c>
      <c r="M25" s="2" t="s">
        <v>346</v>
      </c>
      <c r="N25" s="2" t="s">
        <v>90</v>
      </c>
      <c r="O25" s="2" t="s">
        <v>105</v>
      </c>
      <c r="P25" s="2" t="s">
        <v>347</v>
      </c>
      <c r="Q25" s="2" t="s">
        <v>107</v>
      </c>
      <c r="R25" s="2" t="s">
        <v>108</v>
      </c>
      <c r="S25" s="2" t="s">
        <v>348</v>
      </c>
      <c r="T25" s="2" t="s">
        <v>63</v>
      </c>
      <c r="U25" s="2" t="s">
        <v>349</v>
      </c>
      <c r="V25" s="2" t="s">
        <v>172</v>
      </c>
      <c r="W25" s="2" t="s">
        <v>63</v>
      </c>
      <c r="X25" s="2" t="s">
        <v>350</v>
      </c>
      <c r="Y25" s="2" t="s">
        <v>108</v>
      </c>
      <c r="Z25" s="5">
        <v>44562</v>
      </c>
      <c r="AA25" s="5">
        <v>46415</v>
      </c>
      <c r="AB25" s="2" t="s">
        <v>60</v>
      </c>
      <c r="AC25" s="2" t="s">
        <v>50</v>
      </c>
      <c r="AD25" s="2" t="s">
        <v>63</v>
      </c>
      <c r="AE25" s="2" t="s">
        <v>64</v>
      </c>
      <c r="AF25" s="2" t="s">
        <v>65</v>
      </c>
      <c r="AG25" s="2"/>
      <c r="AH25" s="2"/>
      <c r="AI25" s="2" t="s">
        <v>63</v>
      </c>
      <c r="AJ25" s="5" t="s">
        <v>60</v>
      </c>
      <c r="AK25" s="5">
        <v>44461</v>
      </c>
      <c r="AL25" s="5">
        <v>47118</v>
      </c>
      <c r="AM25" s="5">
        <v>44576</v>
      </c>
      <c r="AN25" s="2">
        <v>46402</v>
      </c>
      <c r="AO25" s="2" t="s">
        <v>66</v>
      </c>
      <c r="AP25" s="2" t="s">
        <v>67</v>
      </c>
      <c r="AQ25" s="2" t="s">
        <v>68</v>
      </c>
    </row>
    <row r="26" spans="1:43" ht="27.95">
      <c r="A26" s="2" t="s">
        <v>351</v>
      </c>
      <c r="B26" s="2" t="s">
        <v>352</v>
      </c>
      <c r="C26" s="2" t="s">
        <v>353</v>
      </c>
      <c r="D26" s="2" t="s">
        <v>354</v>
      </c>
      <c r="E26" s="2" t="s">
        <v>115</v>
      </c>
      <c r="F26" s="2" t="s">
        <v>48</v>
      </c>
      <c r="G26" s="2" t="s">
        <v>116</v>
      </c>
      <c r="H26" s="2"/>
      <c r="I26" s="2" t="s">
        <v>50</v>
      </c>
      <c r="J26" s="2" t="s">
        <v>51</v>
      </c>
      <c r="K26" s="2" t="s">
        <v>52</v>
      </c>
      <c r="L26" s="2" t="s">
        <v>355</v>
      </c>
      <c r="M26" s="2"/>
      <c r="N26" s="2" t="s">
        <v>54</v>
      </c>
      <c r="O26" s="2" t="s">
        <v>120</v>
      </c>
      <c r="P26" s="2" t="s">
        <v>356</v>
      </c>
      <c r="Q26" s="2" t="s">
        <v>122</v>
      </c>
      <c r="R26" s="2" t="s">
        <v>123</v>
      </c>
      <c r="S26" s="2" t="s">
        <v>357</v>
      </c>
      <c r="T26" s="2" t="s">
        <v>60</v>
      </c>
      <c r="U26" s="2"/>
      <c r="V26" s="2" t="s">
        <v>61</v>
      </c>
      <c r="W26" s="2" t="s">
        <v>60</v>
      </c>
      <c r="X26" s="2" t="s">
        <v>358</v>
      </c>
      <c r="Y26" s="2" t="s">
        <v>123</v>
      </c>
      <c r="Z26" s="5">
        <v>43132</v>
      </c>
      <c r="AA26" s="5">
        <v>46811</v>
      </c>
      <c r="AB26" s="2" t="s">
        <v>63</v>
      </c>
      <c r="AC26" s="2" t="s">
        <v>126</v>
      </c>
      <c r="AD26" s="2" t="s">
        <v>63</v>
      </c>
      <c r="AE26" s="2" t="s">
        <v>64</v>
      </c>
      <c r="AF26" s="2" t="s">
        <v>127</v>
      </c>
      <c r="AG26" s="2" t="s">
        <v>359</v>
      </c>
      <c r="AH26" s="2" t="s">
        <v>360</v>
      </c>
      <c r="AI26" s="2" t="s">
        <v>63</v>
      </c>
      <c r="AJ26" s="5" t="s">
        <v>60</v>
      </c>
      <c r="AK26" s="5">
        <v>44472</v>
      </c>
      <c r="AL26" s="5">
        <v>47118</v>
      </c>
      <c r="AM26" s="5">
        <v>44972</v>
      </c>
      <c r="AN26" s="2">
        <v>46798</v>
      </c>
      <c r="AO26" s="2" t="s">
        <v>66</v>
      </c>
      <c r="AP26" s="2" t="s">
        <v>67</v>
      </c>
      <c r="AQ26" s="2" t="s">
        <v>68</v>
      </c>
    </row>
    <row r="27" spans="1:43" ht="27.95">
      <c r="A27" s="2" t="s">
        <v>361</v>
      </c>
      <c r="B27" s="2" t="s">
        <v>362</v>
      </c>
      <c r="C27" s="2" t="s">
        <v>363</v>
      </c>
      <c r="D27" s="2" t="s">
        <v>364</v>
      </c>
      <c r="E27" s="2" t="s">
        <v>134</v>
      </c>
      <c r="F27" s="2" t="s">
        <v>48</v>
      </c>
      <c r="G27" s="2" t="s">
        <v>135</v>
      </c>
      <c r="H27" s="2"/>
      <c r="I27" s="2" t="s">
        <v>50</v>
      </c>
      <c r="J27" s="2" t="s">
        <v>51</v>
      </c>
      <c r="K27" s="2" t="s">
        <v>52</v>
      </c>
      <c r="L27" s="2" t="s">
        <v>365</v>
      </c>
      <c r="M27" s="2"/>
      <c r="N27" s="2" t="s">
        <v>54</v>
      </c>
      <c r="O27" s="2" t="s">
        <v>138</v>
      </c>
      <c r="P27" s="2" t="s">
        <v>366</v>
      </c>
      <c r="Q27" s="2" t="s">
        <v>140</v>
      </c>
      <c r="R27" s="2" t="s">
        <v>141</v>
      </c>
      <c r="S27" s="2" t="s">
        <v>367</v>
      </c>
      <c r="T27" s="2" t="s">
        <v>60</v>
      </c>
      <c r="U27" s="2"/>
      <c r="V27" s="2" t="s">
        <v>61</v>
      </c>
      <c r="W27" s="2" t="s">
        <v>60</v>
      </c>
      <c r="X27" s="2" t="s">
        <v>368</v>
      </c>
      <c r="Y27" s="2" t="s">
        <v>141</v>
      </c>
      <c r="Z27" s="5">
        <v>43525</v>
      </c>
      <c r="AA27" s="5">
        <v>46474</v>
      </c>
      <c r="AB27" s="2" t="s">
        <v>63</v>
      </c>
      <c r="AC27" s="2" t="s">
        <v>126</v>
      </c>
      <c r="AD27" s="2" t="s">
        <v>63</v>
      </c>
      <c r="AE27" s="2" t="s">
        <v>64</v>
      </c>
      <c r="AF27" s="2" t="s">
        <v>65</v>
      </c>
      <c r="AG27" s="2"/>
      <c r="AH27" s="2"/>
      <c r="AI27" s="2" t="s">
        <v>63</v>
      </c>
      <c r="AJ27" s="5" t="s">
        <v>60</v>
      </c>
      <c r="AK27" s="5">
        <v>44483</v>
      </c>
      <c r="AL27" s="5">
        <v>47118</v>
      </c>
      <c r="AM27" s="5">
        <v>45366</v>
      </c>
      <c r="AN27" s="2">
        <v>47192</v>
      </c>
      <c r="AO27" s="2" t="s">
        <v>66</v>
      </c>
      <c r="AP27" s="2" t="s">
        <v>67</v>
      </c>
      <c r="AQ27" s="2" t="s">
        <v>68</v>
      </c>
    </row>
    <row r="28" spans="1:43" ht="27.95">
      <c r="A28" s="2" t="s">
        <v>369</v>
      </c>
      <c r="B28" s="2" t="s">
        <v>370</v>
      </c>
      <c r="C28" s="2" t="s">
        <v>371</v>
      </c>
      <c r="D28" s="2" t="s">
        <v>372</v>
      </c>
      <c r="E28" s="2" t="s">
        <v>149</v>
      </c>
      <c r="F28" s="2" t="s">
        <v>48</v>
      </c>
      <c r="G28" s="2" t="s">
        <v>103</v>
      </c>
      <c r="H28" s="2"/>
      <c r="I28" s="2" t="s">
        <v>50</v>
      </c>
      <c r="J28" s="2" t="s">
        <v>51</v>
      </c>
      <c r="K28" s="2" t="s">
        <v>52</v>
      </c>
      <c r="L28" s="2" t="s">
        <v>373</v>
      </c>
      <c r="M28" s="2" t="s">
        <v>374</v>
      </c>
      <c r="N28" s="2" t="s">
        <v>90</v>
      </c>
      <c r="O28" s="2" t="s">
        <v>151</v>
      </c>
      <c r="P28" s="2" t="s">
        <v>375</v>
      </c>
      <c r="Q28" s="2" t="s">
        <v>153</v>
      </c>
      <c r="R28" s="2" t="s">
        <v>154</v>
      </c>
      <c r="S28" s="2" t="s">
        <v>376</v>
      </c>
      <c r="T28" s="2" t="s">
        <v>60</v>
      </c>
      <c r="U28" s="2"/>
      <c r="V28" s="2" t="s">
        <v>61</v>
      </c>
      <c r="W28" s="2" t="s">
        <v>63</v>
      </c>
      <c r="X28" s="2" t="s">
        <v>377</v>
      </c>
      <c r="Y28" s="2" t="s">
        <v>154</v>
      </c>
      <c r="Z28" s="5">
        <v>43922</v>
      </c>
      <c r="AA28" s="5">
        <v>46871</v>
      </c>
      <c r="AB28" s="2" t="s">
        <v>63</v>
      </c>
      <c r="AC28" s="2" t="s">
        <v>126</v>
      </c>
      <c r="AD28" s="2" t="s">
        <v>63</v>
      </c>
      <c r="AE28" s="2" t="s">
        <v>64</v>
      </c>
      <c r="AF28" s="2" t="s">
        <v>65</v>
      </c>
      <c r="AG28" s="2"/>
      <c r="AH28" s="2"/>
      <c r="AI28" s="2" t="s">
        <v>60</v>
      </c>
      <c r="AJ28" s="5" t="s">
        <v>60</v>
      </c>
      <c r="AK28" s="5">
        <v>44494</v>
      </c>
      <c r="AL28" s="5">
        <v>47118</v>
      </c>
      <c r="AM28" s="5">
        <v>44666</v>
      </c>
      <c r="AN28" s="2">
        <v>46492</v>
      </c>
      <c r="AO28" s="2" t="s">
        <v>66</v>
      </c>
      <c r="AP28" s="2" t="s">
        <v>67</v>
      </c>
      <c r="AQ28" s="2" t="s">
        <v>68</v>
      </c>
    </row>
    <row r="29" spans="1:43" ht="27.95">
      <c r="A29" s="2" t="s">
        <v>378</v>
      </c>
      <c r="B29" s="2" t="s">
        <v>379</v>
      </c>
      <c r="C29" s="2" t="s">
        <v>380</v>
      </c>
      <c r="D29" s="2" t="s">
        <v>381</v>
      </c>
      <c r="E29" s="2" t="s">
        <v>164</v>
      </c>
      <c r="F29" s="2" t="s">
        <v>48</v>
      </c>
      <c r="G29" s="2" t="s">
        <v>165</v>
      </c>
      <c r="H29" s="2" t="s">
        <v>49</v>
      </c>
      <c r="I29" s="2" t="s">
        <v>50</v>
      </c>
      <c r="J29" s="2" t="s">
        <v>51</v>
      </c>
      <c r="K29" s="2" t="s">
        <v>52</v>
      </c>
      <c r="L29" s="2" t="s">
        <v>382</v>
      </c>
      <c r="M29" s="2"/>
      <c r="N29" s="2" t="s">
        <v>54</v>
      </c>
      <c r="O29" s="2" t="s">
        <v>167</v>
      </c>
      <c r="P29" s="2" t="s">
        <v>383</v>
      </c>
      <c r="Q29" s="2" t="s">
        <v>169</v>
      </c>
      <c r="R29" s="2" t="s">
        <v>170</v>
      </c>
      <c r="S29" s="2" t="s">
        <v>384</v>
      </c>
      <c r="T29" s="2" t="s">
        <v>60</v>
      </c>
      <c r="U29" s="2"/>
      <c r="V29" s="2" t="s">
        <v>61</v>
      </c>
      <c r="W29" s="2" t="s">
        <v>60</v>
      </c>
      <c r="X29" s="2" t="s">
        <v>385</v>
      </c>
      <c r="Y29" s="2" t="s">
        <v>170</v>
      </c>
      <c r="Z29" s="5">
        <v>44317</v>
      </c>
      <c r="AA29" s="5">
        <v>46535</v>
      </c>
      <c r="AB29" s="2" t="s">
        <v>63</v>
      </c>
      <c r="AC29" s="2" t="s">
        <v>126</v>
      </c>
      <c r="AD29" s="2" t="s">
        <v>63</v>
      </c>
      <c r="AE29" s="2" t="s">
        <v>64</v>
      </c>
      <c r="AF29" s="2" t="s">
        <v>157</v>
      </c>
      <c r="AG29" s="2" t="s">
        <v>386</v>
      </c>
      <c r="AH29" s="2" t="s">
        <v>387</v>
      </c>
      <c r="AI29" s="2" t="s">
        <v>63</v>
      </c>
      <c r="AJ29" s="5" t="s">
        <v>60</v>
      </c>
      <c r="AK29" s="5">
        <v>44505</v>
      </c>
      <c r="AL29" s="5">
        <v>47118</v>
      </c>
      <c r="AM29" s="5">
        <v>45061</v>
      </c>
      <c r="AN29" s="2">
        <v>46888</v>
      </c>
      <c r="AO29" s="2" t="s">
        <v>66</v>
      </c>
      <c r="AP29" s="2" t="s">
        <v>67</v>
      </c>
      <c r="AQ29" s="2" t="s">
        <v>68</v>
      </c>
    </row>
    <row r="30" spans="1:43" ht="27.95">
      <c r="A30" s="2" t="s">
        <v>388</v>
      </c>
      <c r="B30" s="2" t="s">
        <v>389</v>
      </c>
      <c r="C30" s="2" t="s">
        <v>390</v>
      </c>
      <c r="D30" s="2" t="s">
        <v>391</v>
      </c>
      <c r="E30" s="2" t="s">
        <v>178</v>
      </c>
      <c r="F30" s="2" t="s">
        <v>48</v>
      </c>
      <c r="G30" s="2" t="s">
        <v>179</v>
      </c>
      <c r="H30" s="2"/>
      <c r="I30" s="2" t="s">
        <v>117</v>
      </c>
      <c r="J30" s="2" t="s">
        <v>118</v>
      </c>
      <c r="K30" s="2" t="s">
        <v>52</v>
      </c>
      <c r="L30" s="2" t="s">
        <v>392</v>
      </c>
      <c r="M30" s="2"/>
      <c r="N30" s="2" t="s">
        <v>54</v>
      </c>
      <c r="O30" s="2" t="s">
        <v>182</v>
      </c>
      <c r="P30" s="2" t="s">
        <v>393</v>
      </c>
      <c r="Q30" s="2" t="s">
        <v>184</v>
      </c>
      <c r="R30" s="2" t="s">
        <v>185</v>
      </c>
      <c r="S30" s="2" t="s">
        <v>394</v>
      </c>
      <c r="T30" s="2" t="s">
        <v>60</v>
      </c>
      <c r="U30" s="2"/>
      <c r="V30" s="2" t="s">
        <v>61</v>
      </c>
      <c r="W30" s="2" t="s">
        <v>60</v>
      </c>
      <c r="X30" s="2" t="s">
        <v>395</v>
      </c>
      <c r="Y30" s="2" t="s">
        <v>185</v>
      </c>
      <c r="Z30" s="5">
        <v>44713</v>
      </c>
      <c r="AA30" s="5">
        <v>46932</v>
      </c>
      <c r="AB30" s="2" t="s">
        <v>63</v>
      </c>
      <c r="AC30" s="2" t="s">
        <v>126</v>
      </c>
      <c r="AD30" s="2" t="s">
        <v>63</v>
      </c>
      <c r="AE30" s="2" t="s">
        <v>64</v>
      </c>
      <c r="AF30" s="2" t="s">
        <v>65</v>
      </c>
      <c r="AG30" s="2"/>
      <c r="AH30" s="2"/>
      <c r="AI30" s="2" t="s">
        <v>63</v>
      </c>
      <c r="AJ30" s="5" t="s">
        <v>60</v>
      </c>
      <c r="AK30" s="5">
        <v>44516</v>
      </c>
      <c r="AL30" s="5">
        <v>47118</v>
      </c>
      <c r="AM30" s="5">
        <v>45458</v>
      </c>
      <c r="AN30" s="2">
        <v>47284</v>
      </c>
      <c r="AO30" s="2" t="s">
        <v>66</v>
      </c>
      <c r="AP30" s="2" t="s">
        <v>67</v>
      </c>
      <c r="AQ30" s="2" t="s">
        <v>68</v>
      </c>
    </row>
    <row r="31" spans="1:43" ht="27.95">
      <c r="A31" s="2" t="s">
        <v>396</v>
      </c>
      <c r="B31" s="2" t="s">
        <v>397</v>
      </c>
      <c r="C31" s="2" t="s">
        <v>398</v>
      </c>
      <c r="D31" s="2" t="s">
        <v>399</v>
      </c>
      <c r="E31" s="2" t="s">
        <v>192</v>
      </c>
      <c r="F31" s="2" t="s">
        <v>48</v>
      </c>
      <c r="G31" s="2" t="s">
        <v>193</v>
      </c>
      <c r="H31" s="2"/>
      <c r="I31" s="2" t="s">
        <v>50</v>
      </c>
      <c r="J31" s="2" t="s">
        <v>51</v>
      </c>
      <c r="K31" s="2" t="s">
        <v>52</v>
      </c>
      <c r="L31" s="2" t="s">
        <v>400</v>
      </c>
      <c r="M31" s="2" t="s">
        <v>401</v>
      </c>
      <c r="N31" s="2" t="s">
        <v>90</v>
      </c>
      <c r="O31" s="2" t="s">
        <v>195</v>
      </c>
      <c r="P31" s="2" t="s">
        <v>402</v>
      </c>
      <c r="Q31" s="2" t="s">
        <v>197</v>
      </c>
      <c r="R31" s="2" t="s">
        <v>198</v>
      </c>
      <c r="S31" s="2" t="s">
        <v>403</v>
      </c>
      <c r="T31" s="2" t="s">
        <v>63</v>
      </c>
      <c r="U31" s="2" t="s">
        <v>404</v>
      </c>
      <c r="V31" s="2" t="s">
        <v>61</v>
      </c>
      <c r="W31" s="2" t="s">
        <v>63</v>
      </c>
      <c r="X31" s="2" t="s">
        <v>405</v>
      </c>
      <c r="Y31" s="2" t="s">
        <v>198</v>
      </c>
      <c r="Z31" s="5">
        <v>43282</v>
      </c>
      <c r="AA31" s="5">
        <v>46596</v>
      </c>
      <c r="AB31" s="2" t="s">
        <v>60</v>
      </c>
      <c r="AC31" s="2" t="s">
        <v>50</v>
      </c>
      <c r="AD31" s="2" t="s">
        <v>63</v>
      </c>
      <c r="AE31" s="2" t="s">
        <v>64</v>
      </c>
      <c r="AF31" s="2" t="s">
        <v>127</v>
      </c>
      <c r="AG31" s="2" t="s">
        <v>406</v>
      </c>
      <c r="AH31" s="2" t="s">
        <v>407</v>
      </c>
      <c r="AI31" s="2" t="s">
        <v>63</v>
      </c>
      <c r="AJ31" s="5" t="s">
        <v>60</v>
      </c>
      <c r="AK31" s="5">
        <v>44527</v>
      </c>
      <c r="AL31" s="5">
        <v>47118</v>
      </c>
      <c r="AM31" s="5">
        <v>44757</v>
      </c>
      <c r="AN31" s="2">
        <v>46583</v>
      </c>
      <c r="AO31" s="2" t="s">
        <v>66</v>
      </c>
      <c r="AP31" s="2" t="s">
        <v>67</v>
      </c>
      <c r="AQ31" s="2" t="s">
        <v>68</v>
      </c>
    </row>
    <row r="32" spans="1:43" ht="27.95">
      <c r="A32" s="2" t="s">
        <v>408</v>
      </c>
      <c r="B32" s="2" t="s">
        <v>409</v>
      </c>
      <c r="C32" s="2" t="s">
        <v>410</v>
      </c>
      <c r="D32" s="2" t="s">
        <v>411</v>
      </c>
      <c r="E32" s="2" t="s">
        <v>207</v>
      </c>
      <c r="F32" s="2" t="s">
        <v>48</v>
      </c>
      <c r="G32" s="2" t="s">
        <v>49</v>
      </c>
      <c r="H32" s="2"/>
      <c r="I32" s="2" t="s">
        <v>50</v>
      </c>
      <c r="J32" s="2" t="s">
        <v>51</v>
      </c>
      <c r="K32" s="2" t="s">
        <v>52</v>
      </c>
      <c r="L32" s="2" t="s">
        <v>412</v>
      </c>
      <c r="M32" s="2"/>
      <c r="N32" s="2" t="s">
        <v>54</v>
      </c>
      <c r="O32" s="2" t="s">
        <v>209</v>
      </c>
      <c r="P32" s="2" t="s">
        <v>413</v>
      </c>
      <c r="Q32" s="2" t="s">
        <v>57</v>
      </c>
      <c r="R32" s="2" t="s">
        <v>58</v>
      </c>
      <c r="S32" s="2" t="s">
        <v>414</v>
      </c>
      <c r="T32" s="2" t="s">
        <v>60</v>
      </c>
      <c r="U32" s="2"/>
      <c r="V32" s="2" t="s">
        <v>61</v>
      </c>
      <c r="W32" s="2" t="s">
        <v>60</v>
      </c>
      <c r="X32" s="2" t="s">
        <v>415</v>
      </c>
      <c r="Y32" s="2" t="s">
        <v>58</v>
      </c>
      <c r="Z32" s="5">
        <v>43678</v>
      </c>
      <c r="AA32" s="5">
        <v>46993</v>
      </c>
      <c r="AB32" s="2" t="s">
        <v>60</v>
      </c>
      <c r="AC32" s="2" t="s">
        <v>50</v>
      </c>
      <c r="AD32" s="2" t="s">
        <v>63</v>
      </c>
      <c r="AE32" s="2" t="s">
        <v>64</v>
      </c>
      <c r="AF32" s="2" t="s">
        <v>65</v>
      </c>
      <c r="AG32" s="2"/>
      <c r="AH32" s="2"/>
      <c r="AI32" s="2" t="s">
        <v>63</v>
      </c>
      <c r="AJ32" s="5" t="s">
        <v>60</v>
      </c>
      <c r="AK32" s="5">
        <v>44538</v>
      </c>
      <c r="AL32" s="5">
        <v>47118</v>
      </c>
      <c r="AM32" s="5">
        <v>45153</v>
      </c>
      <c r="AN32" s="2">
        <v>46980</v>
      </c>
      <c r="AO32" s="2" t="s">
        <v>66</v>
      </c>
      <c r="AP32" s="2" t="s">
        <v>67</v>
      </c>
      <c r="AQ32" s="2" t="s">
        <v>68</v>
      </c>
    </row>
    <row r="33" spans="1:43" ht="27.95">
      <c r="A33" s="2" t="s">
        <v>416</v>
      </c>
      <c r="B33" s="2" t="s">
        <v>417</v>
      </c>
      <c r="C33" s="2" t="s">
        <v>418</v>
      </c>
      <c r="D33" s="2" t="s">
        <v>419</v>
      </c>
      <c r="E33" s="2" t="s">
        <v>217</v>
      </c>
      <c r="F33" s="2" t="s">
        <v>48</v>
      </c>
      <c r="G33" s="2" t="s">
        <v>74</v>
      </c>
      <c r="H33" s="2" t="s">
        <v>116</v>
      </c>
      <c r="I33" s="2" t="s">
        <v>50</v>
      </c>
      <c r="J33" s="2" t="s">
        <v>51</v>
      </c>
      <c r="K33" s="2" t="s">
        <v>52</v>
      </c>
      <c r="L33" s="2" t="s">
        <v>420</v>
      </c>
      <c r="M33" s="2"/>
      <c r="N33" s="2" t="s">
        <v>54</v>
      </c>
      <c r="O33" s="2" t="s">
        <v>220</v>
      </c>
      <c r="P33" s="2" t="s">
        <v>421</v>
      </c>
      <c r="Q33" s="2" t="s">
        <v>78</v>
      </c>
      <c r="R33" s="2" t="s">
        <v>79</v>
      </c>
      <c r="S33" s="2" t="s">
        <v>422</v>
      </c>
      <c r="T33" s="2" t="s">
        <v>60</v>
      </c>
      <c r="U33" s="2"/>
      <c r="V33" s="2" t="s">
        <v>172</v>
      </c>
      <c r="W33" s="2" t="s">
        <v>60</v>
      </c>
      <c r="X33" s="2" t="s">
        <v>423</v>
      </c>
      <c r="Y33" s="2" t="s">
        <v>79</v>
      </c>
      <c r="Z33" s="5">
        <v>44075</v>
      </c>
      <c r="AA33" s="5">
        <v>46658</v>
      </c>
      <c r="AB33" s="2" t="s">
        <v>60</v>
      </c>
      <c r="AC33" s="2" t="s">
        <v>50</v>
      </c>
      <c r="AD33" s="2" t="s">
        <v>63</v>
      </c>
      <c r="AE33" s="2" t="s">
        <v>64</v>
      </c>
      <c r="AF33" s="2" t="s">
        <v>65</v>
      </c>
      <c r="AG33" s="2"/>
      <c r="AH33" s="2"/>
      <c r="AI33" s="2" t="s">
        <v>63</v>
      </c>
      <c r="AJ33" s="5" t="s">
        <v>60</v>
      </c>
      <c r="AK33" s="5">
        <v>44549</v>
      </c>
      <c r="AL33" s="5">
        <v>47118</v>
      </c>
      <c r="AM33" s="5">
        <v>45550</v>
      </c>
      <c r="AN33" s="2">
        <v>47376</v>
      </c>
      <c r="AO33" s="2" t="s">
        <v>66</v>
      </c>
      <c r="AP33" s="2" t="s">
        <v>67</v>
      </c>
      <c r="AQ33" s="2" t="s">
        <v>68</v>
      </c>
    </row>
    <row r="34" spans="1:43" ht="27.95">
      <c r="A34" s="2" t="s">
        <v>424</v>
      </c>
      <c r="B34" s="2" t="s">
        <v>425</v>
      </c>
      <c r="C34" s="2" t="s">
        <v>426</v>
      </c>
      <c r="D34" s="2" t="s">
        <v>427</v>
      </c>
      <c r="E34" s="2" t="s">
        <v>229</v>
      </c>
      <c r="F34" s="2" t="s">
        <v>48</v>
      </c>
      <c r="G34" s="2" t="s">
        <v>87</v>
      </c>
      <c r="H34" s="2"/>
      <c r="I34" s="2" t="s">
        <v>50</v>
      </c>
      <c r="J34" s="2" t="s">
        <v>51</v>
      </c>
      <c r="K34" s="2" t="s">
        <v>52</v>
      </c>
      <c r="L34" s="2" t="s">
        <v>428</v>
      </c>
      <c r="M34" s="2" t="s">
        <v>429</v>
      </c>
      <c r="N34" s="2" t="s">
        <v>90</v>
      </c>
      <c r="O34" s="2" t="s">
        <v>231</v>
      </c>
      <c r="P34" s="2" t="s">
        <v>430</v>
      </c>
      <c r="Q34" s="2" t="s">
        <v>93</v>
      </c>
      <c r="R34" s="2" t="s">
        <v>94</v>
      </c>
      <c r="S34" s="2" t="s">
        <v>431</v>
      </c>
      <c r="T34" s="2" t="s">
        <v>60</v>
      </c>
      <c r="U34" s="2"/>
      <c r="V34" s="2" t="s">
        <v>61</v>
      </c>
      <c r="W34" s="2" t="s">
        <v>63</v>
      </c>
      <c r="X34" s="2" t="s">
        <v>432</v>
      </c>
      <c r="Y34" s="2" t="s">
        <v>94</v>
      </c>
      <c r="Z34" s="5">
        <v>44470</v>
      </c>
      <c r="AA34" s="5">
        <v>47054</v>
      </c>
      <c r="AB34" s="2" t="s">
        <v>60</v>
      </c>
      <c r="AC34" s="2" t="s">
        <v>50</v>
      </c>
      <c r="AD34" s="2" t="s">
        <v>63</v>
      </c>
      <c r="AE34" s="2" t="s">
        <v>64</v>
      </c>
      <c r="AF34" s="2" t="s">
        <v>65</v>
      </c>
      <c r="AG34" s="2"/>
      <c r="AH34" s="2"/>
      <c r="AI34" s="2" t="s">
        <v>63</v>
      </c>
      <c r="AJ34" s="5" t="s">
        <v>60</v>
      </c>
      <c r="AK34" s="5">
        <v>44560</v>
      </c>
      <c r="AL34" s="5">
        <v>47118</v>
      </c>
      <c r="AM34" s="5">
        <v>44849</v>
      </c>
      <c r="AN34" s="2">
        <v>46675</v>
      </c>
      <c r="AO34" s="2" t="s">
        <v>66</v>
      </c>
      <c r="AP34" s="2" t="s">
        <v>67</v>
      </c>
      <c r="AQ34" s="2" t="s">
        <v>68</v>
      </c>
    </row>
    <row r="35" spans="1:43" ht="27.95">
      <c r="A35" s="2" t="s">
        <v>433</v>
      </c>
      <c r="B35" s="2" t="s">
        <v>434</v>
      </c>
      <c r="C35" s="2" t="s">
        <v>435</v>
      </c>
      <c r="D35" s="2" t="s">
        <v>436</v>
      </c>
      <c r="E35" s="2" t="s">
        <v>239</v>
      </c>
      <c r="F35" s="2" t="s">
        <v>48</v>
      </c>
      <c r="G35" s="2" t="s">
        <v>102</v>
      </c>
      <c r="H35" s="2"/>
      <c r="I35" s="2" t="s">
        <v>50</v>
      </c>
      <c r="J35" s="2" t="s">
        <v>51</v>
      </c>
      <c r="K35" s="2" t="s">
        <v>52</v>
      </c>
      <c r="L35" s="2" t="s">
        <v>437</v>
      </c>
      <c r="M35" s="2"/>
      <c r="N35" s="2" t="s">
        <v>54</v>
      </c>
      <c r="O35" s="2" t="s">
        <v>241</v>
      </c>
      <c r="P35" s="2" t="s">
        <v>438</v>
      </c>
      <c r="Q35" s="2" t="s">
        <v>107</v>
      </c>
      <c r="R35" s="2" t="s">
        <v>108</v>
      </c>
      <c r="S35" s="2" t="s">
        <v>439</v>
      </c>
      <c r="T35" s="2" t="s">
        <v>60</v>
      </c>
      <c r="U35" s="2"/>
      <c r="V35" s="2" t="s">
        <v>61</v>
      </c>
      <c r="W35" s="2" t="s">
        <v>60</v>
      </c>
      <c r="X35" s="2" t="s">
        <v>440</v>
      </c>
      <c r="Y35" s="2" t="s">
        <v>108</v>
      </c>
      <c r="Z35" s="5">
        <v>44866</v>
      </c>
      <c r="AA35" s="5">
        <v>46719</v>
      </c>
      <c r="AB35" s="2" t="s">
        <v>60</v>
      </c>
      <c r="AC35" s="2" t="s">
        <v>50</v>
      </c>
      <c r="AD35" s="2" t="s">
        <v>63</v>
      </c>
      <c r="AE35" s="2" t="s">
        <v>64</v>
      </c>
      <c r="AF35" s="2" t="s">
        <v>65</v>
      </c>
      <c r="AG35" s="2"/>
      <c r="AH35" s="2"/>
      <c r="AI35" s="2" t="s">
        <v>63</v>
      </c>
      <c r="AJ35" s="5" t="s">
        <v>60</v>
      </c>
      <c r="AK35" s="5">
        <v>44571</v>
      </c>
      <c r="AL35" s="5">
        <v>47118</v>
      </c>
      <c r="AM35" s="5">
        <v>45245</v>
      </c>
      <c r="AN35" s="2">
        <v>47072</v>
      </c>
      <c r="AO35" s="2" t="s">
        <v>66</v>
      </c>
      <c r="AP35" s="2" t="s">
        <v>67</v>
      </c>
      <c r="AQ35" s="2" t="s">
        <v>68</v>
      </c>
    </row>
    <row r="36" spans="1:43" ht="27.95">
      <c r="A36" s="2" t="s">
        <v>441</v>
      </c>
      <c r="B36" s="2" t="s">
        <v>442</v>
      </c>
      <c r="C36" s="2" t="s">
        <v>443</v>
      </c>
      <c r="D36" s="2" t="s">
        <v>444</v>
      </c>
      <c r="E36" s="2" t="s">
        <v>251</v>
      </c>
      <c r="F36" s="2" t="s">
        <v>48</v>
      </c>
      <c r="G36" s="2" t="s">
        <v>116</v>
      </c>
      <c r="H36" s="2"/>
      <c r="I36" s="2" t="s">
        <v>117</v>
      </c>
      <c r="J36" s="2" t="s">
        <v>118</v>
      </c>
      <c r="K36" s="2" t="s">
        <v>52</v>
      </c>
      <c r="L36" s="2" t="s">
        <v>445</v>
      </c>
      <c r="M36" s="2"/>
      <c r="N36" s="2" t="s">
        <v>54</v>
      </c>
      <c r="O36" s="2" t="s">
        <v>254</v>
      </c>
      <c r="P36" s="2" t="s">
        <v>446</v>
      </c>
      <c r="Q36" s="2" t="s">
        <v>122</v>
      </c>
      <c r="R36" s="2" t="s">
        <v>123</v>
      </c>
      <c r="S36" s="2" t="s">
        <v>447</v>
      </c>
      <c r="T36" s="2" t="s">
        <v>60</v>
      </c>
      <c r="U36" s="2"/>
      <c r="V36" s="2" t="s">
        <v>61</v>
      </c>
      <c r="W36" s="2" t="s">
        <v>60</v>
      </c>
      <c r="X36" s="2" t="s">
        <v>448</v>
      </c>
      <c r="Y36" s="2" t="s">
        <v>123</v>
      </c>
      <c r="Z36" s="5">
        <v>43435</v>
      </c>
      <c r="AA36" s="5">
        <v>47115</v>
      </c>
      <c r="AB36" s="2" t="s">
        <v>63</v>
      </c>
      <c r="AC36" s="2" t="s">
        <v>126</v>
      </c>
      <c r="AD36" s="2" t="s">
        <v>63</v>
      </c>
      <c r="AE36" s="2" t="s">
        <v>64</v>
      </c>
      <c r="AF36" s="2" t="s">
        <v>127</v>
      </c>
      <c r="AG36" s="2" t="s">
        <v>449</v>
      </c>
      <c r="AH36" s="2" t="s">
        <v>450</v>
      </c>
      <c r="AI36" s="2" t="s">
        <v>63</v>
      </c>
      <c r="AJ36" s="5" t="s">
        <v>60</v>
      </c>
      <c r="AK36" s="5">
        <v>44582</v>
      </c>
      <c r="AL36" s="5">
        <v>47118</v>
      </c>
      <c r="AM36" s="5">
        <v>45641</v>
      </c>
      <c r="AN36" s="2">
        <v>47467</v>
      </c>
      <c r="AO36" s="2" t="s">
        <v>66</v>
      </c>
      <c r="AP36" s="2" t="s">
        <v>67</v>
      </c>
      <c r="AQ36" s="2" t="s">
        <v>68</v>
      </c>
    </row>
    <row r="37" spans="1:43" ht="27.95">
      <c r="A37" s="2" t="s">
        <v>451</v>
      </c>
      <c r="B37" s="2" t="s">
        <v>452</v>
      </c>
      <c r="C37" s="2" t="s">
        <v>453</v>
      </c>
      <c r="D37" s="2" t="s">
        <v>454</v>
      </c>
      <c r="E37" s="2" t="s">
        <v>264</v>
      </c>
      <c r="F37" s="2" t="s">
        <v>48</v>
      </c>
      <c r="G37" s="2" t="s">
        <v>135</v>
      </c>
      <c r="H37" s="2" t="s">
        <v>179</v>
      </c>
      <c r="I37" s="2" t="s">
        <v>50</v>
      </c>
      <c r="J37" s="2" t="s">
        <v>51</v>
      </c>
      <c r="K37" s="2" t="s">
        <v>52</v>
      </c>
      <c r="L37" s="2" t="s">
        <v>455</v>
      </c>
      <c r="M37" s="2" t="s">
        <v>456</v>
      </c>
      <c r="N37" s="2" t="s">
        <v>90</v>
      </c>
      <c r="O37" s="2" t="s">
        <v>266</v>
      </c>
      <c r="P37" s="2" t="s">
        <v>457</v>
      </c>
      <c r="Q37" s="2" t="s">
        <v>140</v>
      </c>
      <c r="R37" s="2" t="s">
        <v>141</v>
      </c>
      <c r="S37" s="2" t="s">
        <v>458</v>
      </c>
      <c r="T37" s="2" t="s">
        <v>63</v>
      </c>
      <c r="U37" s="2" t="s">
        <v>459</v>
      </c>
      <c r="V37" s="2" t="s">
        <v>61</v>
      </c>
      <c r="W37" s="2" t="s">
        <v>63</v>
      </c>
      <c r="X37" s="2" t="s">
        <v>460</v>
      </c>
      <c r="Y37" s="2" t="s">
        <v>141</v>
      </c>
      <c r="Z37" s="5">
        <v>43466</v>
      </c>
      <c r="AA37" s="5">
        <v>46415</v>
      </c>
      <c r="AB37" s="2" t="s">
        <v>63</v>
      </c>
      <c r="AC37" s="2" t="s">
        <v>126</v>
      </c>
      <c r="AD37" s="2" t="s">
        <v>63</v>
      </c>
      <c r="AE37" s="2" t="s">
        <v>64</v>
      </c>
      <c r="AF37" s="2" t="s">
        <v>65</v>
      </c>
      <c r="AG37" s="2"/>
      <c r="AH37" s="2"/>
      <c r="AI37" s="2" t="s">
        <v>60</v>
      </c>
      <c r="AJ37" s="5" t="s">
        <v>60</v>
      </c>
      <c r="AK37" s="5">
        <v>44593</v>
      </c>
      <c r="AL37" s="5">
        <v>47118</v>
      </c>
      <c r="AM37" s="5">
        <v>44576</v>
      </c>
      <c r="AN37" s="2">
        <v>46402</v>
      </c>
      <c r="AO37" s="2" t="s">
        <v>66</v>
      </c>
      <c r="AP37" s="2" t="s">
        <v>67</v>
      </c>
      <c r="AQ37" s="2" t="s">
        <v>68</v>
      </c>
    </row>
    <row r="38" spans="1:43" ht="27.95">
      <c r="A38" s="2" t="s">
        <v>461</v>
      </c>
      <c r="B38" s="2" t="s">
        <v>462</v>
      </c>
      <c r="C38" s="2" t="s">
        <v>463</v>
      </c>
      <c r="D38" s="2" t="s">
        <v>464</v>
      </c>
      <c r="E38" s="2" t="s">
        <v>274</v>
      </c>
      <c r="F38" s="2" t="s">
        <v>48</v>
      </c>
      <c r="G38" s="2" t="s">
        <v>103</v>
      </c>
      <c r="H38" s="2"/>
      <c r="I38" s="2" t="s">
        <v>50</v>
      </c>
      <c r="J38" s="2" t="s">
        <v>51</v>
      </c>
      <c r="K38" s="2" t="s">
        <v>52</v>
      </c>
      <c r="L38" s="2" t="s">
        <v>465</v>
      </c>
      <c r="M38" s="2"/>
      <c r="N38" s="2" t="s">
        <v>54</v>
      </c>
      <c r="O38" s="2" t="s">
        <v>276</v>
      </c>
      <c r="P38" s="2" t="s">
        <v>466</v>
      </c>
      <c r="Q38" s="2" t="s">
        <v>153</v>
      </c>
      <c r="R38" s="2" t="s">
        <v>154</v>
      </c>
      <c r="S38" s="2" t="s">
        <v>467</v>
      </c>
      <c r="T38" s="2" t="s">
        <v>60</v>
      </c>
      <c r="U38" s="2"/>
      <c r="V38" s="2" t="s">
        <v>61</v>
      </c>
      <c r="W38" s="2" t="s">
        <v>60</v>
      </c>
      <c r="X38" s="2" t="s">
        <v>468</v>
      </c>
      <c r="Y38" s="2" t="s">
        <v>154</v>
      </c>
      <c r="Z38" s="5">
        <v>43862</v>
      </c>
      <c r="AA38" s="5">
        <v>46811</v>
      </c>
      <c r="AB38" s="2" t="s">
        <v>63</v>
      </c>
      <c r="AC38" s="2" t="s">
        <v>126</v>
      </c>
      <c r="AD38" s="2" t="s">
        <v>63</v>
      </c>
      <c r="AE38" s="2" t="s">
        <v>64</v>
      </c>
      <c r="AF38" s="2" t="s">
        <v>65</v>
      </c>
      <c r="AG38" s="2"/>
      <c r="AH38" s="2"/>
      <c r="AI38" s="2" t="s">
        <v>63</v>
      </c>
      <c r="AJ38" s="5" t="s">
        <v>60</v>
      </c>
      <c r="AK38" s="5">
        <v>44604</v>
      </c>
      <c r="AL38" s="5">
        <v>47118</v>
      </c>
      <c r="AM38" s="5">
        <v>44972</v>
      </c>
      <c r="AN38" s="2">
        <v>46798</v>
      </c>
      <c r="AO38" s="2" t="s">
        <v>66</v>
      </c>
      <c r="AP38" s="2" t="s">
        <v>67</v>
      </c>
      <c r="AQ38" s="2" t="s">
        <v>68</v>
      </c>
    </row>
    <row r="39" spans="1:43" ht="27.95">
      <c r="A39" s="2" t="s">
        <v>469</v>
      </c>
      <c r="B39" s="2" t="s">
        <v>470</v>
      </c>
      <c r="C39" s="2" t="s">
        <v>471</v>
      </c>
      <c r="D39" s="2" t="s">
        <v>472</v>
      </c>
      <c r="E39" s="2" t="s">
        <v>284</v>
      </c>
      <c r="F39" s="2" t="s">
        <v>48</v>
      </c>
      <c r="G39" s="2" t="s">
        <v>165</v>
      </c>
      <c r="H39" s="2"/>
      <c r="I39" s="2" t="s">
        <v>50</v>
      </c>
      <c r="J39" s="2" t="s">
        <v>51</v>
      </c>
      <c r="K39" s="2" t="s">
        <v>52</v>
      </c>
      <c r="L39" s="2" t="s">
        <v>473</v>
      </c>
      <c r="M39" s="2"/>
      <c r="N39" s="2" t="s">
        <v>54</v>
      </c>
      <c r="O39" s="2" t="s">
        <v>287</v>
      </c>
      <c r="P39" s="2" t="s">
        <v>474</v>
      </c>
      <c r="Q39" s="2" t="s">
        <v>169</v>
      </c>
      <c r="R39" s="2" t="s">
        <v>170</v>
      </c>
      <c r="S39" s="2" t="s">
        <v>475</v>
      </c>
      <c r="T39" s="2" t="s">
        <v>60</v>
      </c>
      <c r="U39" s="2"/>
      <c r="V39" s="2" t="s">
        <v>61</v>
      </c>
      <c r="W39" s="2" t="s">
        <v>60</v>
      </c>
      <c r="X39" s="2" t="s">
        <v>476</v>
      </c>
      <c r="Y39" s="2" t="s">
        <v>170</v>
      </c>
      <c r="Z39" s="5">
        <v>44256</v>
      </c>
      <c r="AA39" s="5">
        <v>46474</v>
      </c>
      <c r="AB39" s="2" t="s">
        <v>63</v>
      </c>
      <c r="AC39" s="2" t="s">
        <v>126</v>
      </c>
      <c r="AD39" s="2" t="s">
        <v>63</v>
      </c>
      <c r="AE39" s="2" t="s">
        <v>64</v>
      </c>
      <c r="AF39" s="2" t="s">
        <v>65</v>
      </c>
      <c r="AG39" s="2"/>
      <c r="AH39" s="2"/>
      <c r="AI39" s="2" t="s">
        <v>63</v>
      </c>
      <c r="AJ39" s="5" t="s">
        <v>60</v>
      </c>
      <c r="AK39" s="5">
        <v>44615</v>
      </c>
      <c r="AL39" s="5">
        <v>47118</v>
      </c>
      <c r="AM39" s="5">
        <v>45366</v>
      </c>
      <c r="AN39" s="2">
        <v>47192</v>
      </c>
      <c r="AO39" s="2" t="s">
        <v>66</v>
      </c>
      <c r="AP39" s="2" t="s">
        <v>67</v>
      </c>
      <c r="AQ39" s="2" t="s">
        <v>68</v>
      </c>
    </row>
    <row r="40" spans="1:43" ht="27.95">
      <c r="A40" s="2" t="s">
        <v>477</v>
      </c>
      <c r="B40" s="2" t="s">
        <v>478</v>
      </c>
      <c r="C40" s="2" t="s">
        <v>479</v>
      </c>
      <c r="D40" s="2" t="s">
        <v>480</v>
      </c>
      <c r="E40" s="2" t="s">
        <v>296</v>
      </c>
      <c r="F40" s="2" t="s">
        <v>48</v>
      </c>
      <c r="G40" s="2" t="s">
        <v>179</v>
      </c>
      <c r="H40" s="2"/>
      <c r="I40" s="2" t="s">
        <v>50</v>
      </c>
      <c r="J40" s="2" t="s">
        <v>51</v>
      </c>
      <c r="K40" s="2" t="s">
        <v>52</v>
      </c>
      <c r="L40" s="2" t="s">
        <v>481</v>
      </c>
      <c r="M40" s="2" t="s">
        <v>482</v>
      </c>
      <c r="N40" s="2" t="s">
        <v>90</v>
      </c>
      <c r="O40" s="2" t="s">
        <v>298</v>
      </c>
      <c r="P40" s="2" t="s">
        <v>483</v>
      </c>
      <c r="Q40" s="2" t="s">
        <v>184</v>
      </c>
      <c r="R40" s="2" t="s">
        <v>185</v>
      </c>
      <c r="S40" s="2" t="s">
        <v>484</v>
      </c>
      <c r="T40" s="2" t="s">
        <v>60</v>
      </c>
      <c r="U40" s="2"/>
      <c r="V40" s="2" t="s">
        <v>61</v>
      </c>
      <c r="W40" s="2" t="s">
        <v>63</v>
      </c>
      <c r="X40" s="2" t="s">
        <v>485</v>
      </c>
      <c r="Y40" s="2" t="s">
        <v>185</v>
      </c>
      <c r="Z40" s="5">
        <v>44652</v>
      </c>
      <c r="AA40" s="5">
        <v>46871</v>
      </c>
      <c r="AB40" s="2" t="s">
        <v>63</v>
      </c>
      <c r="AC40" s="2" t="s">
        <v>126</v>
      </c>
      <c r="AD40" s="2" t="s">
        <v>63</v>
      </c>
      <c r="AE40" s="2" t="s">
        <v>64</v>
      </c>
      <c r="AF40" s="2" t="s">
        <v>65</v>
      </c>
      <c r="AG40" s="2"/>
      <c r="AH40" s="2"/>
      <c r="AI40" s="2" t="s">
        <v>63</v>
      </c>
      <c r="AJ40" s="5" t="s">
        <v>60</v>
      </c>
      <c r="AK40" s="5">
        <v>44626</v>
      </c>
      <c r="AL40" s="5">
        <v>47118</v>
      </c>
      <c r="AM40" s="5">
        <v>44666</v>
      </c>
      <c r="AN40" s="2">
        <v>46492</v>
      </c>
      <c r="AO40" s="2" t="s">
        <v>66</v>
      </c>
      <c r="AP40" s="2" t="s">
        <v>67</v>
      </c>
      <c r="AQ40" s="2" t="s">
        <v>68</v>
      </c>
    </row>
    <row r="41" spans="1:43" ht="27.95">
      <c r="A41" s="2" t="s">
        <v>486</v>
      </c>
      <c r="B41" s="2" t="s">
        <v>487</v>
      </c>
      <c r="C41" s="2" t="s">
        <v>488</v>
      </c>
      <c r="D41" s="2" t="s">
        <v>489</v>
      </c>
      <c r="E41" s="2" t="s">
        <v>306</v>
      </c>
      <c r="F41" s="2" t="s">
        <v>48</v>
      </c>
      <c r="G41" s="2" t="s">
        <v>193</v>
      </c>
      <c r="H41" s="2" t="s">
        <v>87</v>
      </c>
      <c r="I41" s="2" t="s">
        <v>50</v>
      </c>
      <c r="J41" s="2" t="s">
        <v>51</v>
      </c>
      <c r="K41" s="2" t="s">
        <v>52</v>
      </c>
      <c r="L41" s="2" t="s">
        <v>490</v>
      </c>
      <c r="M41" s="2"/>
      <c r="N41" s="2" t="s">
        <v>54</v>
      </c>
      <c r="O41" s="2" t="s">
        <v>308</v>
      </c>
      <c r="P41" s="2" t="s">
        <v>491</v>
      </c>
      <c r="Q41" s="2" t="s">
        <v>197</v>
      </c>
      <c r="R41" s="2" t="s">
        <v>198</v>
      </c>
      <c r="S41" s="2" t="s">
        <v>492</v>
      </c>
      <c r="T41" s="2" t="s">
        <v>60</v>
      </c>
      <c r="U41" s="2"/>
      <c r="V41" s="2" t="s">
        <v>172</v>
      </c>
      <c r="W41" s="2" t="s">
        <v>60</v>
      </c>
      <c r="X41" s="2" t="s">
        <v>493</v>
      </c>
      <c r="Y41" s="2" t="s">
        <v>198</v>
      </c>
      <c r="Z41" s="5">
        <v>43221</v>
      </c>
      <c r="AA41" s="5">
        <v>46535</v>
      </c>
      <c r="AB41" s="2" t="s">
        <v>60</v>
      </c>
      <c r="AC41" s="2" t="s">
        <v>50</v>
      </c>
      <c r="AD41" s="2" t="s">
        <v>63</v>
      </c>
      <c r="AE41" s="2" t="s">
        <v>64</v>
      </c>
      <c r="AF41" s="2" t="s">
        <v>127</v>
      </c>
      <c r="AG41" s="2" t="s">
        <v>386</v>
      </c>
      <c r="AH41" s="2" t="s">
        <v>387</v>
      </c>
      <c r="AI41" s="2" t="s">
        <v>63</v>
      </c>
      <c r="AJ41" s="5" t="s">
        <v>60</v>
      </c>
      <c r="AK41" s="5">
        <v>44637</v>
      </c>
      <c r="AL41" s="5">
        <v>47118</v>
      </c>
      <c r="AM41" s="5">
        <v>45061</v>
      </c>
      <c r="AN41" s="2">
        <v>46888</v>
      </c>
      <c r="AO41" s="2" t="s">
        <v>66</v>
      </c>
      <c r="AP41" s="2" t="s">
        <v>67</v>
      </c>
      <c r="AQ41" s="2" t="s">
        <v>68</v>
      </c>
    </row>
    <row r="42" spans="1:43" ht="27.95">
      <c r="A42" s="2" t="s">
        <v>494</v>
      </c>
      <c r="B42" s="2" t="s">
        <v>495</v>
      </c>
      <c r="C42" s="2" t="s">
        <v>496</v>
      </c>
      <c r="D42" s="2" t="s">
        <v>497</v>
      </c>
      <c r="E42" s="2" t="s">
        <v>47</v>
      </c>
      <c r="F42" s="2" t="s">
        <v>48</v>
      </c>
      <c r="G42" s="2" t="s">
        <v>49</v>
      </c>
      <c r="H42" s="2"/>
      <c r="I42" s="2" t="s">
        <v>117</v>
      </c>
      <c r="J42" s="2" t="s">
        <v>118</v>
      </c>
      <c r="K42" s="2" t="s">
        <v>52</v>
      </c>
      <c r="L42" s="2" t="s">
        <v>498</v>
      </c>
      <c r="M42" s="2"/>
      <c r="N42" s="2" t="s">
        <v>54</v>
      </c>
      <c r="O42" s="2" t="s">
        <v>55</v>
      </c>
      <c r="P42" s="2" t="s">
        <v>499</v>
      </c>
      <c r="Q42" s="2" t="s">
        <v>57</v>
      </c>
      <c r="R42" s="2" t="s">
        <v>58</v>
      </c>
      <c r="S42" s="2" t="s">
        <v>500</v>
      </c>
      <c r="T42" s="2" t="s">
        <v>60</v>
      </c>
      <c r="U42" s="2"/>
      <c r="V42" s="2" t="s">
        <v>61</v>
      </c>
      <c r="W42" s="2" t="s">
        <v>60</v>
      </c>
      <c r="X42" s="2" t="s">
        <v>501</v>
      </c>
      <c r="Y42" s="2" t="s">
        <v>58</v>
      </c>
      <c r="Z42" s="5">
        <v>43617</v>
      </c>
      <c r="AA42" s="5">
        <v>46932</v>
      </c>
      <c r="AB42" s="2" t="s">
        <v>60</v>
      </c>
      <c r="AC42" s="2" t="s">
        <v>50</v>
      </c>
      <c r="AD42" s="2" t="s">
        <v>63</v>
      </c>
      <c r="AE42" s="2" t="s">
        <v>64</v>
      </c>
      <c r="AF42" s="2" t="s">
        <v>65</v>
      </c>
      <c r="AG42" s="2"/>
      <c r="AH42" s="2"/>
      <c r="AI42" s="2" t="s">
        <v>63</v>
      </c>
      <c r="AJ42" s="5" t="s">
        <v>60</v>
      </c>
      <c r="AK42" s="5">
        <v>44648</v>
      </c>
      <c r="AL42" s="5">
        <v>47118</v>
      </c>
      <c r="AM42" s="5">
        <v>45458</v>
      </c>
      <c r="AN42" s="2">
        <v>47284</v>
      </c>
      <c r="AO42" s="2" t="s">
        <v>66</v>
      </c>
      <c r="AP42" s="2" t="s">
        <v>67</v>
      </c>
      <c r="AQ42" s="2" t="s">
        <v>68</v>
      </c>
    </row>
    <row r="43" spans="1:43" ht="27.95">
      <c r="A43" s="2" t="s">
        <v>502</v>
      </c>
      <c r="B43" s="2" t="s">
        <v>503</v>
      </c>
      <c r="C43" s="2" t="s">
        <v>504</v>
      </c>
      <c r="D43" s="2" t="s">
        <v>505</v>
      </c>
      <c r="E43" s="2" t="s">
        <v>73</v>
      </c>
      <c r="F43" s="2" t="s">
        <v>48</v>
      </c>
      <c r="G43" s="2" t="s">
        <v>74</v>
      </c>
      <c r="H43" s="2"/>
      <c r="I43" s="2" t="s">
        <v>50</v>
      </c>
      <c r="J43" s="2" t="s">
        <v>51</v>
      </c>
      <c r="K43" s="2" t="s">
        <v>52</v>
      </c>
      <c r="L43" s="2" t="s">
        <v>506</v>
      </c>
      <c r="M43" s="2" t="s">
        <v>507</v>
      </c>
      <c r="N43" s="2" t="s">
        <v>90</v>
      </c>
      <c r="O43" s="2" t="s">
        <v>76</v>
      </c>
      <c r="P43" s="2" t="s">
        <v>508</v>
      </c>
      <c r="Q43" s="2" t="s">
        <v>78</v>
      </c>
      <c r="R43" s="2" t="s">
        <v>79</v>
      </c>
      <c r="S43" s="2" t="s">
        <v>509</v>
      </c>
      <c r="T43" s="2" t="s">
        <v>63</v>
      </c>
      <c r="U43" s="2" t="s">
        <v>510</v>
      </c>
      <c r="V43" s="2" t="s">
        <v>61</v>
      </c>
      <c r="W43" s="2" t="s">
        <v>63</v>
      </c>
      <c r="X43" s="2" t="s">
        <v>511</v>
      </c>
      <c r="Y43" s="2" t="s">
        <v>79</v>
      </c>
      <c r="Z43" s="5">
        <v>44013</v>
      </c>
      <c r="AA43" s="5">
        <v>46596</v>
      </c>
      <c r="AB43" s="2" t="s">
        <v>60</v>
      </c>
      <c r="AC43" s="2" t="s">
        <v>50</v>
      </c>
      <c r="AD43" s="2" t="s">
        <v>63</v>
      </c>
      <c r="AE43" s="2" t="s">
        <v>64</v>
      </c>
      <c r="AF43" s="2" t="s">
        <v>157</v>
      </c>
      <c r="AG43" s="2" t="s">
        <v>406</v>
      </c>
      <c r="AH43" s="2" t="s">
        <v>407</v>
      </c>
      <c r="AI43" s="2" t="s">
        <v>63</v>
      </c>
      <c r="AJ43" s="5" t="s">
        <v>60</v>
      </c>
      <c r="AK43" s="5">
        <v>44659</v>
      </c>
      <c r="AL43" s="5">
        <v>47118</v>
      </c>
      <c r="AM43" s="5">
        <v>44757</v>
      </c>
      <c r="AN43" s="2">
        <v>46583</v>
      </c>
      <c r="AO43" s="2" t="s">
        <v>66</v>
      </c>
      <c r="AP43" s="2" t="s">
        <v>67</v>
      </c>
      <c r="AQ43" s="2" t="s">
        <v>68</v>
      </c>
    </row>
    <row r="44" spans="1:43" ht="27.95">
      <c r="A44" s="2" t="s">
        <v>512</v>
      </c>
      <c r="B44" s="2" t="s">
        <v>513</v>
      </c>
      <c r="C44" s="2" t="s">
        <v>514</v>
      </c>
      <c r="D44" s="2" t="s">
        <v>515</v>
      </c>
      <c r="E44" s="2" t="s">
        <v>86</v>
      </c>
      <c r="F44" s="2" t="s">
        <v>48</v>
      </c>
      <c r="G44" s="2" t="s">
        <v>87</v>
      </c>
      <c r="H44" s="2"/>
      <c r="I44" s="2" t="s">
        <v>50</v>
      </c>
      <c r="J44" s="2" t="s">
        <v>51</v>
      </c>
      <c r="K44" s="2" t="s">
        <v>52</v>
      </c>
      <c r="L44" s="2" t="s">
        <v>516</v>
      </c>
      <c r="M44" s="2"/>
      <c r="N44" s="2" t="s">
        <v>54</v>
      </c>
      <c r="O44" s="2" t="s">
        <v>91</v>
      </c>
      <c r="P44" s="2" t="s">
        <v>517</v>
      </c>
      <c r="Q44" s="2" t="s">
        <v>93</v>
      </c>
      <c r="R44" s="2" t="s">
        <v>94</v>
      </c>
      <c r="S44" s="2" t="s">
        <v>518</v>
      </c>
      <c r="T44" s="2" t="s">
        <v>60</v>
      </c>
      <c r="U44" s="2"/>
      <c r="V44" s="2" t="s">
        <v>61</v>
      </c>
      <c r="W44" s="2" t="s">
        <v>60</v>
      </c>
      <c r="X44" s="2" t="s">
        <v>519</v>
      </c>
      <c r="Y44" s="2" t="s">
        <v>94</v>
      </c>
      <c r="Z44" s="5">
        <v>44409</v>
      </c>
      <c r="AA44" s="5">
        <v>46993</v>
      </c>
      <c r="AB44" s="2" t="s">
        <v>60</v>
      </c>
      <c r="AC44" s="2" t="s">
        <v>50</v>
      </c>
      <c r="AD44" s="2" t="s">
        <v>63</v>
      </c>
      <c r="AE44" s="2" t="s">
        <v>64</v>
      </c>
      <c r="AF44" s="2" t="s">
        <v>65</v>
      </c>
      <c r="AG44" s="2"/>
      <c r="AH44" s="2"/>
      <c r="AI44" s="2" t="s">
        <v>63</v>
      </c>
      <c r="AJ44" s="5" t="s">
        <v>60</v>
      </c>
      <c r="AK44" s="5">
        <v>44670</v>
      </c>
      <c r="AL44" s="5">
        <v>47118</v>
      </c>
      <c r="AM44" s="5">
        <v>45153</v>
      </c>
      <c r="AN44" s="2">
        <v>46980</v>
      </c>
      <c r="AO44" s="2" t="s">
        <v>66</v>
      </c>
      <c r="AP44" s="2" t="s">
        <v>67</v>
      </c>
      <c r="AQ44" s="2" t="s">
        <v>68</v>
      </c>
    </row>
    <row r="45" spans="1:43" ht="27.95">
      <c r="A45" s="2" t="s">
        <v>520</v>
      </c>
      <c r="B45" s="2" t="s">
        <v>521</v>
      </c>
      <c r="C45" s="2" t="s">
        <v>522</v>
      </c>
      <c r="D45" s="2" t="s">
        <v>523</v>
      </c>
      <c r="E45" s="2" t="s">
        <v>101</v>
      </c>
      <c r="F45" s="2" t="s">
        <v>48</v>
      </c>
      <c r="G45" s="2" t="s">
        <v>102</v>
      </c>
      <c r="H45" s="2" t="s">
        <v>103</v>
      </c>
      <c r="I45" s="2" t="s">
        <v>50</v>
      </c>
      <c r="J45" s="2" t="s">
        <v>51</v>
      </c>
      <c r="K45" s="2" t="s">
        <v>52</v>
      </c>
      <c r="L45" s="2" t="s">
        <v>524</v>
      </c>
      <c r="M45" s="2"/>
      <c r="N45" s="2" t="s">
        <v>54</v>
      </c>
      <c r="O45" s="2" t="s">
        <v>105</v>
      </c>
      <c r="P45" s="2" t="s">
        <v>525</v>
      </c>
      <c r="Q45" s="2" t="s">
        <v>107</v>
      </c>
      <c r="R45" s="2" t="s">
        <v>108</v>
      </c>
      <c r="S45" s="2" t="s">
        <v>526</v>
      </c>
      <c r="T45" s="2" t="s">
        <v>60</v>
      </c>
      <c r="U45" s="2"/>
      <c r="V45" s="2" t="s">
        <v>61</v>
      </c>
      <c r="W45" s="2" t="s">
        <v>60</v>
      </c>
      <c r="X45" s="2" t="s">
        <v>527</v>
      </c>
      <c r="Y45" s="2" t="s">
        <v>108</v>
      </c>
      <c r="Z45" s="5">
        <v>44805</v>
      </c>
      <c r="AA45" s="5">
        <v>46658</v>
      </c>
      <c r="AB45" s="2" t="s">
        <v>60</v>
      </c>
      <c r="AC45" s="2" t="s">
        <v>50</v>
      </c>
      <c r="AD45" s="2" t="s">
        <v>63</v>
      </c>
      <c r="AE45" s="2" t="s">
        <v>64</v>
      </c>
      <c r="AF45" s="2" t="s">
        <v>65</v>
      </c>
      <c r="AG45" s="2"/>
      <c r="AH45" s="2"/>
      <c r="AI45" s="2" t="s">
        <v>63</v>
      </c>
      <c r="AJ45" s="5" t="s">
        <v>60</v>
      </c>
      <c r="AK45" s="5">
        <v>44681</v>
      </c>
      <c r="AL45" s="5">
        <v>47118</v>
      </c>
      <c r="AM45" s="5">
        <v>45550</v>
      </c>
      <c r="AN45" s="2">
        <v>47376</v>
      </c>
      <c r="AO45" s="2" t="s">
        <v>66</v>
      </c>
      <c r="AP45" s="2" t="s">
        <v>67</v>
      </c>
      <c r="AQ45" s="2" t="s">
        <v>68</v>
      </c>
    </row>
    <row r="46" spans="1:43" ht="27.95">
      <c r="A46" s="2" t="s">
        <v>528</v>
      </c>
      <c r="B46" s="2" t="s">
        <v>529</v>
      </c>
      <c r="C46" s="2" t="s">
        <v>530</v>
      </c>
      <c r="D46" s="2" t="s">
        <v>531</v>
      </c>
      <c r="E46" s="2" t="s">
        <v>115</v>
      </c>
      <c r="F46" s="2" t="s">
        <v>48</v>
      </c>
      <c r="G46" s="2" t="s">
        <v>116</v>
      </c>
      <c r="H46" s="2"/>
      <c r="I46" s="2" t="s">
        <v>50</v>
      </c>
      <c r="J46" s="2" t="s">
        <v>51</v>
      </c>
      <c r="K46" s="2" t="s">
        <v>52</v>
      </c>
      <c r="L46" s="2" t="s">
        <v>532</v>
      </c>
      <c r="M46" s="2" t="s">
        <v>533</v>
      </c>
      <c r="N46" s="2" t="s">
        <v>90</v>
      </c>
      <c r="O46" s="2" t="s">
        <v>120</v>
      </c>
      <c r="P46" s="2" t="s">
        <v>534</v>
      </c>
      <c r="Q46" s="2" t="s">
        <v>122</v>
      </c>
      <c r="R46" s="2" t="s">
        <v>123</v>
      </c>
      <c r="S46" s="2" t="s">
        <v>535</v>
      </c>
      <c r="T46" s="2" t="s">
        <v>60</v>
      </c>
      <c r="U46" s="2"/>
      <c r="V46" s="2" t="s">
        <v>61</v>
      </c>
      <c r="W46" s="2" t="s">
        <v>63</v>
      </c>
      <c r="X46" s="2" t="s">
        <v>536</v>
      </c>
      <c r="Y46" s="2" t="s">
        <v>123</v>
      </c>
      <c r="Z46" s="5">
        <v>43374</v>
      </c>
      <c r="AA46" s="5">
        <v>47054</v>
      </c>
      <c r="AB46" s="2" t="s">
        <v>63</v>
      </c>
      <c r="AC46" s="2" t="s">
        <v>126</v>
      </c>
      <c r="AD46" s="2" t="s">
        <v>63</v>
      </c>
      <c r="AE46" s="2" t="s">
        <v>64</v>
      </c>
      <c r="AF46" s="2" t="s">
        <v>127</v>
      </c>
      <c r="AG46" s="2" t="s">
        <v>323</v>
      </c>
      <c r="AH46" s="2" t="s">
        <v>324</v>
      </c>
      <c r="AI46" s="2" t="s">
        <v>60</v>
      </c>
      <c r="AJ46" s="5" t="s">
        <v>60</v>
      </c>
      <c r="AK46" s="5">
        <v>44692</v>
      </c>
      <c r="AL46" s="5">
        <v>47118</v>
      </c>
      <c r="AM46" s="5">
        <v>44849</v>
      </c>
      <c r="AN46" s="2">
        <v>46675</v>
      </c>
      <c r="AO46" s="2" t="s">
        <v>66</v>
      </c>
      <c r="AP46" s="2" t="s">
        <v>67</v>
      </c>
      <c r="AQ46" s="2" t="s">
        <v>68</v>
      </c>
    </row>
    <row r="47" spans="1:43" ht="27.95">
      <c r="A47" s="2" t="s">
        <v>537</v>
      </c>
      <c r="B47" s="2" t="s">
        <v>538</v>
      </c>
      <c r="C47" s="2" t="s">
        <v>539</v>
      </c>
      <c r="D47" s="2" t="s">
        <v>540</v>
      </c>
      <c r="E47" s="2" t="s">
        <v>134</v>
      </c>
      <c r="F47" s="2" t="s">
        <v>48</v>
      </c>
      <c r="G47" s="2" t="s">
        <v>135</v>
      </c>
      <c r="H47" s="2"/>
      <c r="I47" s="2" t="s">
        <v>50</v>
      </c>
      <c r="J47" s="2" t="s">
        <v>51</v>
      </c>
      <c r="K47" s="2" t="s">
        <v>52</v>
      </c>
      <c r="L47" s="2" t="s">
        <v>541</v>
      </c>
      <c r="M47" s="2"/>
      <c r="N47" s="2" t="s">
        <v>54</v>
      </c>
      <c r="O47" s="2" t="s">
        <v>138</v>
      </c>
      <c r="P47" s="2" t="s">
        <v>542</v>
      </c>
      <c r="Q47" s="2" t="s">
        <v>140</v>
      </c>
      <c r="R47" s="2" t="s">
        <v>141</v>
      </c>
      <c r="S47" s="2" t="s">
        <v>543</v>
      </c>
      <c r="T47" s="2" t="s">
        <v>60</v>
      </c>
      <c r="U47" s="2"/>
      <c r="V47" s="2" t="s">
        <v>61</v>
      </c>
      <c r="W47" s="2" t="s">
        <v>60</v>
      </c>
      <c r="X47" s="2" t="s">
        <v>544</v>
      </c>
      <c r="Y47" s="2" t="s">
        <v>141</v>
      </c>
      <c r="Z47" s="5">
        <v>43770</v>
      </c>
      <c r="AA47" s="5">
        <v>46719</v>
      </c>
      <c r="AB47" s="2" t="s">
        <v>63</v>
      </c>
      <c r="AC47" s="2" t="s">
        <v>126</v>
      </c>
      <c r="AD47" s="2" t="s">
        <v>63</v>
      </c>
      <c r="AE47" s="2" t="s">
        <v>64</v>
      </c>
      <c r="AF47" s="2" t="s">
        <v>65</v>
      </c>
      <c r="AG47" s="2"/>
      <c r="AH47" s="2"/>
      <c r="AI47" s="2" t="s">
        <v>63</v>
      </c>
      <c r="AJ47" s="5" t="s">
        <v>60</v>
      </c>
      <c r="AK47" s="5">
        <v>44703</v>
      </c>
      <c r="AL47" s="5">
        <v>47118</v>
      </c>
      <c r="AM47" s="5">
        <v>45245</v>
      </c>
      <c r="AN47" s="2">
        <v>47072</v>
      </c>
      <c r="AO47" s="2" t="s">
        <v>66</v>
      </c>
      <c r="AP47" s="2" t="s">
        <v>67</v>
      </c>
      <c r="AQ47" s="2" t="s">
        <v>68</v>
      </c>
    </row>
    <row r="48" spans="1:43" ht="27.95">
      <c r="A48" s="2" t="s">
        <v>545</v>
      </c>
      <c r="B48" s="2" t="s">
        <v>546</v>
      </c>
      <c r="C48" s="2" t="s">
        <v>547</v>
      </c>
      <c r="D48" s="2" t="s">
        <v>548</v>
      </c>
      <c r="E48" s="2" t="s">
        <v>149</v>
      </c>
      <c r="F48" s="2" t="s">
        <v>48</v>
      </c>
      <c r="G48" s="2" t="s">
        <v>103</v>
      </c>
      <c r="H48" s="2"/>
      <c r="I48" s="2" t="s">
        <v>117</v>
      </c>
      <c r="J48" s="2" t="s">
        <v>118</v>
      </c>
      <c r="K48" s="2" t="s">
        <v>52</v>
      </c>
      <c r="L48" s="2" t="s">
        <v>549</v>
      </c>
      <c r="M48" s="2"/>
      <c r="N48" s="2" t="s">
        <v>54</v>
      </c>
      <c r="O48" s="2" t="s">
        <v>151</v>
      </c>
      <c r="P48" s="2" t="s">
        <v>550</v>
      </c>
      <c r="Q48" s="2" t="s">
        <v>153</v>
      </c>
      <c r="R48" s="2" t="s">
        <v>154</v>
      </c>
      <c r="S48" s="2" t="s">
        <v>551</v>
      </c>
      <c r="T48" s="2" t="s">
        <v>60</v>
      </c>
      <c r="U48" s="2"/>
      <c r="V48" s="2" t="s">
        <v>61</v>
      </c>
      <c r="W48" s="2" t="s">
        <v>60</v>
      </c>
      <c r="X48" s="2" t="s">
        <v>552</v>
      </c>
      <c r="Y48" s="2" t="s">
        <v>154</v>
      </c>
      <c r="Z48" s="5">
        <v>44166</v>
      </c>
      <c r="AA48" s="5">
        <v>47115</v>
      </c>
      <c r="AB48" s="2" t="s">
        <v>63</v>
      </c>
      <c r="AC48" s="2" t="s">
        <v>126</v>
      </c>
      <c r="AD48" s="2" t="s">
        <v>63</v>
      </c>
      <c r="AE48" s="2" t="s">
        <v>64</v>
      </c>
      <c r="AF48" s="2" t="s">
        <v>65</v>
      </c>
      <c r="AG48" s="2"/>
      <c r="AH48" s="2"/>
      <c r="AI48" s="2" t="s">
        <v>63</v>
      </c>
      <c r="AJ48" s="5" t="s">
        <v>60</v>
      </c>
      <c r="AK48" s="5">
        <v>44714</v>
      </c>
      <c r="AL48" s="5">
        <v>47118</v>
      </c>
      <c r="AM48" s="5">
        <v>45641</v>
      </c>
      <c r="AN48" s="2">
        <v>47467</v>
      </c>
      <c r="AO48" s="2" t="s">
        <v>66</v>
      </c>
      <c r="AP48" s="2" t="s">
        <v>67</v>
      </c>
      <c r="AQ48" s="2" t="s">
        <v>68</v>
      </c>
    </row>
    <row r="49" spans="1:43" ht="27.95">
      <c r="A49" s="2" t="s">
        <v>553</v>
      </c>
      <c r="B49" s="2" t="s">
        <v>554</v>
      </c>
      <c r="C49" s="2" t="s">
        <v>555</v>
      </c>
      <c r="D49" s="2" t="s">
        <v>556</v>
      </c>
      <c r="E49" s="2" t="s">
        <v>164</v>
      </c>
      <c r="F49" s="2" t="s">
        <v>48</v>
      </c>
      <c r="G49" s="2" t="s">
        <v>165</v>
      </c>
      <c r="H49" s="2" t="s">
        <v>49</v>
      </c>
      <c r="I49" s="2" t="s">
        <v>50</v>
      </c>
      <c r="J49" s="2" t="s">
        <v>51</v>
      </c>
      <c r="K49" s="2" t="s">
        <v>52</v>
      </c>
      <c r="L49" s="2" t="s">
        <v>557</v>
      </c>
      <c r="M49" s="2" t="s">
        <v>558</v>
      </c>
      <c r="N49" s="2" t="s">
        <v>90</v>
      </c>
      <c r="O49" s="2" t="s">
        <v>167</v>
      </c>
      <c r="P49" s="2" t="s">
        <v>559</v>
      </c>
      <c r="Q49" s="2" t="s">
        <v>169</v>
      </c>
      <c r="R49" s="2" t="s">
        <v>170</v>
      </c>
      <c r="S49" s="2" t="s">
        <v>560</v>
      </c>
      <c r="T49" s="2" t="s">
        <v>63</v>
      </c>
      <c r="U49" s="2" t="s">
        <v>561</v>
      </c>
      <c r="V49" s="2" t="s">
        <v>172</v>
      </c>
      <c r="W49" s="2" t="s">
        <v>63</v>
      </c>
      <c r="X49" s="2" t="s">
        <v>562</v>
      </c>
      <c r="Y49" s="2" t="s">
        <v>170</v>
      </c>
      <c r="Z49" s="5">
        <v>44197</v>
      </c>
      <c r="AA49" s="5">
        <v>46415</v>
      </c>
      <c r="AB49" s="2" t="s">
        <v>63</v>
      </c>
      <c r="AC49" s="2" t="s">
        <v>126</v>
      </c>
      <c r="AD49" s="2" t="s">
        <v>63</v>
      </c>
      <c r="AE49" s="2" t="s">
        <v>64</v>
      </c>
      <c r="AF49" s="2" t="s">
        <v>65</v>
      </c>
      <c r="AG49" s="2"/>
      <c r="AH49" s="2"/>
      <c r="AI49" s="2" t="s">
        <v>63</v>
      </c>
      <c r="AJ49" s="5" t="s">
        <v>60</v>
      </c>
      <c r="AK49" s="5">
        <v>44725</v>
      </c>
      <c r="AL49" s="5">
        <v>47118</v>
      </c>
      <c r="AM49" s="5">
        <v>44576</v>
      </c>
      <c r="AN49" s="2">
        <v>46402</v>
      </c>
      <c r="AO49" s="2" t="s">
        <v>66</v>
      </c>
      <c r="AP49" s="2" t="s">
        <v>67</v>
      </c>
      <c r="AQ49" s="2" t="s">
        <v>68</v>
      </c>
    </row>
    <row r="50" spans="1:43" ht="27.95">
      <c r="A50" s="2" t="s">
        <v>563</v>
      </c>
      <c r="B50" s="2" t="s">
        <v>564</v>
      </c>
      <c r="C50" s="2" t="s">
        <v>565</v>
      </c>
      <c r="D50" s="2" t="s">
        <v>566</v>
      </c>
      <c r="E50" s="2" t="s">
        <v>178</v>
      </c>
      <c r="F50" s="2" t="s">
        <v>48</v>
      </c>
      <c r="G50" s="2" t="s">
        <v>179</v>
      </c>
      <c r="H50" s="2"/>
      <c r="I50" s="2" t="s">
        <v>50</v>
      </c>
      <c r="J50" s="2" t="s">
        <v>51</v>
      </c>
      <c r="K50" s="2" t="s">
        <v>52</v>
      </c>
      <c r="L50" s="2" t="s">
        <v>567</v>
      </c>
      <c r="M50" s="2"/>
      <c r="N50" s="2" t="s">
        <v>54</v>
      </c>
      <c r="O50" s="2" t="s">
        <v>182</v>
      </c>
      <c r="P50" s="2" t="s">
        <v>568</v>
      </c>
      <c r="Q50" s="2" t="s">
        <v>184</v>
      </c>
      <c r="R50" s="2" t="s">
        <v>185</v>
      </c>
      <c r="S50" s="2" t="s">
        <v>569</v>
      </c>
      <c r="T50" s="2" t="s">
        <v>60</v>
      </c>
      <c r="U50" s="2"/>
      <c r="V50" s="2" t="s">
        <v>61</v>
      </c>
      <c r="W50" s="2" t="s">
        <v>60</v>
      </c>
      <c r="X50" s="2" t="s">
        <v>570</v>
      </c>
      <c r="Y50" s="2" t="s">
        <v>185</v>
      </c>
      <c r="Z50" s="5">
        <v>44593</v>
      </c>
      <c r="AA50" s="5">
        <v>46811</v>
      </c>
      <c r="AB50" s="2" t="s">
        <v>63</v>
      </c>
      <c r="AC50" s="2" t="s">
        <v>126</v>
      </c>
      <c r="AD50" s="2" t="s">
        <v>63</v>
      </c>
      <c r="AE50" s="2" t="s">
        <v>64</v>
      </c>
      <c r="AF50" s="2" t="s">
        <v>157</v>
      </c>
      <c r="AG50" s="2" t="s">
        <v>359</v>
      </c>
      <c r="AH50" s="2" t="s">
        <v>360</v>
      </c>
      <c r="AI50" s="2" t="s">
        <v>63</v>
      </c>
      <c r="AJ50" s="5" t="s">
        <v>60</v>
      </c>
      <c r="AK50" s="5">
        <v>44736</v>
      </c>
      <c r="AL50" s="5">
        <v>47118</v>
      </c>
      <c r="AM50" s="5">
        <v>44972</v>
      </c>
      <c r="AN50" s="2">
        <v>46798</v>
      </c>
      <c r="AO50" s="2" t="s">
        <v>66</v>
      </c>
      <c r="AP50" s="2" t="s">
        <v>67</v>
      </c>
      <c r="AQ50" s="2" t="s">
        <v>68</v>
      </c>
    </row>
    <row r="51" spans="1:43" ht="27.95">
      <c r="A51" s="2" t="s">
        <v>571</v>
      </c>
      <c r="B51" s="2" t="s">
        <v>572</v>
      </c>
      <c r="C51" s="2" t="s">
        <v>573</v>
      </c>
      <c r="D51" s="2" t="s">
        <v>574</v>
      </c>
      <c r="E51" s="2" t="s">
        <v>192</v>
      </c>
      <c r="F51" s="2" t="s">
        <v>48</v>
      </c>
      <c r="G51" s="2" t="s">
        <v>193</v>
      </c>
      <c r="H51" s="2"/>
      <c r="I51" s="2" t="s">
        <v>50</v>
      </c>
      <c r="J51" s="2" t="s">
        <v>51</v>
      </c>
      <c r="K51" s="2" t="s">
        <v>52</v>
      </c>
      <c r="L51" s="2" t="s">
        <v>575</v>
      </c>
      <c r="M51" s="2"/>
      <c r="N51" s="2" t="s">
        <v>54</v>
      </c>
      <c r="O51" s="2" t="s">
        <v>195</v>
      </c>
      <c r="P51" s="2" t="s">
        <v>576</v>
      </c>
      <c r="Q51" s="2" t="s">
        <v>197</v>
      </c>
      <c r="R51" s="2" t="s">
        <v>198</v>
      </c>
      <c r="S51" s="2" t="s">
        <v>577</v>
      </c>
      <c r="T51" s="2" t="s">
        <v>60</v>
      </c>
      <c r="U51" s="2"/>
      <c r="V51" s="2" t="s">
        <v>61</v>
      </c>
      <c r="W51" s="2" t="s">
        <v>60</v>
      </c>
      <c r="X51" s="2" t="s">
        <v>578</v>
      </c>
      <c r="Y51" s="2" t="s">
        <v>198</v>
      </c>
      <c r="Z51" s="5">
        <v>43160</v>
      </c>
      <c r="AA51" s="5">
        <v>46474</v>
      </c>
      <c r="AB51" s="2" t="s">
        <v>60</v>
      </c>
      <c r="AC51" s="2" t="s">
        <v>50</v>
      </c>
      <c r="AD51" s="2" t="s">
        <v>63</v>
      </c>
      <c r="AE51" s="2" t="s">
        <v>64</v>
      </c>
      <c r="AF51" s="2" t="s">
        <v>127</v>
      </c>
      <c r="AG51" s="2" t="s">
        <v>245</v>
      </c>
      <c r="AH51" s="2" t="s">
        <v>246</v>
      </c>
      <c r="AI51" s="2" t="s">
        <v>63</v>
      </c>
      <c r="AJ51" s="5" t="s">
        <v>60</v>
      </c>
      <c r="AK51" s="5">
        <v>44747</v>
      </c>
      <c r="AL51" s="5">
        <v>47118</v>
      </c>
      <c r="AM51" s="5">
        <v>45366</v>
      </c>
      <c r="AN51" s="2">
        <v>47192</v>
      </c>
      <c r="AO51" s="2" t="s">
        <v>66</v>
      </c>
      <c r="AP51" s="2" t="s">
        <v>67</v>
      </c>
      <c r="AQ51" s="2" t="s">
        <v>68</v>
      </c>
    </row>
    <row r="52" spans="1:43" ht="27.95">
      <c r="A52" s="2" t="s">
        <v>579</v>
      </c>
      <c r="B52" s="2" t="s">
        <v>580</v>
      </c>
      <c r="C52" s="2" t="s">
        <v>581</v>
      </c>
      <c r="D52" s="2" t="s">
        <v>582</v>
      </c>
      <c r="E52" s="2" t="s">
        <v>207</v>
      </c>
      <c r="F52" s="2" t="s">
        <v>48</v>
      </c>
      <c r="G52" s="2" t="s">
        <v>49</v>
      </c>
      <c r="H52" s="2"/>
      <c r="I52" s="2" t="s">
        <v>50</v>
      </c>
      <c r="J52" s="2" t="s">
        <v>51</v>
      </c>
      <c r="K52" s="2" t="s">
        <v>52</v>
      </c>
      <c r="L52" s="2" t="s">
        <v>583</v>
      </c>
      <c r="M52" s="2" t="s">
        <v>584</v>
      </c>
      <c r="N52" s="2" t="s">
        <v>90</v>
      </c>
      <c r="O52" s="2" t="s">
        <v>209</v>
      </c>
      <c r="P52" s="2" t="s">
        <v>585</v>
      </c>
      <c r="Q52" s="2" t="s">
        <v>57</v>
      </c>
      <c r="R52" s="2" t="s">
        <v>58</v>
      </c>
      <c r="S52" s="2" t="s">
        <v>586</v>
      </c>
      <c r="T52" s="2" t="s">
        <v>60</v>
      </c>
      <c r="U52" s="2"/>
      <c r="V52" s="2" t="s">
        <v>61</v>
      </c>
      <c r="W52" s="2" t="s">
        <v>63</v>
      </c>
      <c r="X52" s="2" t="s">
        <v>587</v>
      </c>
      <c r="Y52" s="2" t="s">
        <v>58</v>
      </c>
      <c r="Z52" s="5">
        <v>43556</v>
      </c>
      <c r="AA52" s="5">
        <v>46871</v>
      </c>
      <c r="AB52" s="2" t="s">
        <v>60</v>
      </c>
      <c r="AC52" s="2" t="s">
        <v>50</v>
      </c>
      <c r="AD52" s="2" t="s">
        <v>63</v>
      </c>
      <c r="AE52" s="2" t="s">
        <v>64</v>
      </c>
      <c r="AF52" s="2" t="s">
        <v>65</v>
      </c>
      <c r="AG52" s="2"/>
      <c r="AH52" s="2"/>
      <c r="AI52" s="2" t="s">
        <v>63</v>
      </c>
      <c r="AJ52" s="5" t="s">
        <v>60</v>
      </c>
      <c r="AK52" s="5">
        <v>44758</v>
      </c>
      <c r="AL52" s="5">
        <v>47118</v>
      </c>
      <c r="AM52" s="5">
        <v>44666</v>
      </c>
      <c r="AN52" s="2">
        <v>46492</v>
      </c>
      <c r="AO52" s="2" t="s">
        <v>66</v>
      </c>
      <c r="AP52" s="2" t="s">
        <v>67</v>
      </c>
      <c r="AQ52" s="2" t="s">
        <v>68</v>
      </c>
    </row>
    <row r="53" spans="1:43" ht="27.95">
      <c r="A53" s="2" t="s">
        <v>588</v>
      </c>
      <c r="B53" s="2" t="s">
        <v>589</v>
      </c>
      <c r="C53" s="2" t="s">
        <v>590</v>
      </c>
      <c r="D53" s="2" t="s">
        <v>591</v>
      </c>
      <c r="E53" s="2" t="s">
        <v>217</v>
      </c>
      <c r="F53" s="2" t="s">
        <v>48</v>
      </c>
      <c r="G53" s="2" t="s">
        <v>74</v>
      </c>
      <c r="H53" s="2" t="s">
        <v>116</v>
      </c>
      <c r="I53" s="2" t="s">
        <v>50</v>
      </c>
      <c r="J53" s="2" t="s">
        <v>51</v>
      </c>
      <c r="K53" s="2" t="s">
        <v>52</v>
      </c>
      <c r="L53" s="2" t="s">
        <v>592</v>
      </c>
      <c r="M53" s="2"/>
      <c r="N53" s="2" t="s">
        <v>54</v>
      </c>
      <c r="O53" s="2" t="s">
        <v>220</v>
      </c>
      <c r="P53" s="2" t="s">
        <v>593</v>
      </c>
      <c r="Q53" s="2" t="s">
        <v>78</v>
      </c>
      <c r="R53" s="2" t="s">
        <v>79</v>
      </c>
      <c r="S53" s="2" t="s">
        <v>594</v>
      </c>
      <c r="T53" s="2" t="s">
        <v>60</v>
      </c>
      <c r="U53" s="2"/>
      <c r="V53" s="2" t="s">
        <v>61</v>
      </c>
      <c r="W53" s="2" t="s">
        <v>60</v>
      </c>
      <c r="X53" s="2" t="s">
        <v>595</v>
      </c>
      <c r="Y53" s="2" t="s">
        <v>79</v>
      </c>
      <c r="Z53" s="5">
        <v>43952</v>
      </c>
      <c r="AA53" s="5">
        <v>46535</v>
      </c>
      <c r="AB53" s="2" t="s">
        <v>60</v>
      </c>
      <c r="AC53" s="2" t="s">
        <v>50</v>
      </c>
      <c r="AD53" s="2" t="s">
        <v>63</v>
      </c>
      <c r="AE53" s="2" t="s">
        <v>64</v>
      </c>
      <c r="AF53" s="2" t="s">
        <v>65</v>
      </c>
      <c r="AG53" s="2"/>
      <c r="AH53" s="2"/>
      <c r="AI53" s="2" t="s">
        <v>63</v>
      </c>
      <c r="AJ53" s="5" t="s">
        <v>60</v>
      </c>
      <c r="AK53" s="5">
        <v>44769</v>
      </c>
      <c r="AL53" s="5">
        <v>47118</v>
      </c>
      <c r="AM53" s="5">
        <v>45061</v>
      </c>
      <c r="AN53" s="2">
        <v>46888</v>
      </c>
      <c r="AO53" s="2" t="s">
        <v>66</v>
      </c>
      <c r="AP53" s="2" t="s">
        <v>67</v>
      </c>
      <c r="AQ53" s="2" t="s">
        <v>68</v>
      </c>
    </row>
    <row r="54" spans="1:43" ht="27.95">
      <c r="A54" s="2" t="s">
        <v>596</v>
      </c>
      <c r="B54" s="2" t="s">
        <v>597</v>
      </c>
      <c r="C54" s="2" t="s">
        <v>598</v>
      </c>
      <c r="D54" s="2" t="s">
        <v>599</v>
      </c>
      <c r="E54" s="2" t="s">
        <v>229</v>
      </c>
      <c r="F54" s="2" t="s">
        <v>48</v>
      </c>
      <c r="G54" s="2" t="s">
        <v>87</v>
      </c>
      <c r="H54" s="2"/>
      <c r="I54" s="2" t="s">
        <v>117</v>
      </c>
      <c r="J54" s="2" t="s">
        <v>118</v>
      </c>
      <c r="K54" s="2" t="s">
        <v>52</v>
      </c>
      <c r="L54" s="2" t="s">
        <v>600</v>
      </c>
      <c r="M54" s="2"/>
      <c r="N54" s="2" t="s">
        <v>54</v>
      </c>
      <c r="O54" s="2" t="s">
        <v>231</v>
      </c>
      <c r="P54" s="2" t="s">
        <v>601</v>
      </c>
      <c r="Q54" s="2" t="s">
        <v>93</v>
      </c>
      <c r="R54" s="2" t="s">
        <v>94</v>
      </c>
      <c r="S54" s="2" t="s">
        <v>602</v>
      </c>
      <c r="T54" s="2" t="s">
        <v>60</v>
      </c>
      <c r="U54" s="2"/>
      <c r="V54" s="2" t="s">
        <v>61</v>
      </c>
      <c r="W54" s="2" t="s">
        <v>60</v>
      </c>
      <c r="X54" s="2" t="s">
        <v>603</v>
      </c>
      <c r="Y54" s="2" t="s">
        <v>94</v>
      </c>
      <c r="Z54" s="5">
        <v>44348</v>
      </c>
      <c r="AA54" s="5">
        <v>46932</v>
      </c>
      <c r="AB54" s="2" t="s">
        <v>60</v>
      </c>
      <c r="AC54" s="2" t="s">
        <v>50</v>
      </c>
      <c r="AD54" s="2" t="s">
        <v>63</v>
      </c>
      <c r="AE54" s="2" t="s">
        <v>64</v>
      </c>
      <c r="AF54" s="2" t="s">
        <v>65</v>
      </c>
      <c r="AG54" s="2"/>
      <c r="AH54" s="2"/>
      <c r="AI54" s="2" t="s">
        <v>63</v>
      </c>
      <c r="AJ54" s="5" t="s">
        <v>60</v>
      </c>
      <c r="AK54" s="5">
        <v>44780</v>
      </c>
      <c r="AL54" s="5">
        <v>47118</v>
      </c>
      <c r="AM54" s="5">
        <v>45458</v>
      </c>
      <c r="AN54" s="2">
        <v>47284</v>
      </c>
      <c r="AO54" s="2" t="s">
        <v>66</v>
      </c>
      <c r="AP54" s="2" t="s">
        <v>67</v>
      </c>
      <c r="AQ54" s="2" t="s">
        <v>68</v>
      </c>
    </row>
    <row r="55" spans="1:43" ht="27.95">
      <c r="A55" s="2" t="s">
        <v>604</v>
      </c>
      <c r="B55" s="2" t="s">
        <v>605</v>
      </c>
      <c r="C55" s="2" t="s">
        <v>606</v>
      </c>
      <c r="D55" s="2" t="s">
        <v>607</v>
      </c>
      <c r="E55" s="2" t="s">
        <v>239</v>
      </c>
      <c r="F55" s="2" t="s">
        <v>48</v>
      </c>
      <c r="G55" s="2" t="s">
        <v>102</v>
      </c>
      <c r="H55" s="2"/>
      <c r="I55" s="2" t="s">
        <v>50</v>
      </c>
      <c r="J55" s="2" t="s">
        <v>51</v>
      </c>
      <c r="K55" s="2" t="s">
        <v>52</v>
      </c>
      <c r="L55" s="2" t="s">
        <v>608</v>
      </c>
      <c r="M55" s="2" t="s">
        <v>609</v>
      </c>
      <c r="N55" s="2" t="s">
        <v>90</v>
      </c>
      <c r="O55" s="2" t="s">
        <v>241</v>
      </c>
      <c r="P55" s="2" t="s">
        <v>610</v>
      </c>
      <c r="Q55" s="2" t="s">
        <v>107</v>
      </c>
      <c r="R55" s="2" t="s">
        <v>108</v>
      </c>
      <c r="S55" s="2" t="s">
        <v>611</v>
      </c>
      <c r="T55" s="2" t="s">
        <v>63</v>
      </c>
      <c r="U55" s="2" t="s">
        <v>612</v>
      </c>
      <c r="V55" s="2" t="s">
        <v>61</v>
      </c>
      <c r="W55" s="2" t="s">
        <v>63</v>
      </c>
      <c r="X55" s="2" t="s">
        <v>613</v>
      </c>
      <c r="Y55" s="2" t="s">
        <v>108</v>
      </c>
      <c r="Z55" s="5">
        <v>44743</v>
      </c>
      <c r="AA55" s="5">
        <v>46596</v>
      </c>
      <c r="AB55" s="2" t="s">
        <v>60</v>
      </c>
      <c r="AC55" s="2" t="s">
        <v>50</v>
      </c>
      <c r="AD55" s="2" t="s">
        <v>63</v>
      </c>
      <c r="AE55" s="2" t="s">
        <v>64</v>
      </c>
      <c r="AF55" s="2" t="s">
        <v>65</v>
      </c>
      <c r="AG55" s="2"/>
      <c r="AH55" s="2"/>
      <c r="AI55" s="2" t="s">
        <v>60</v>
      </c>
      <c r="AJ55" s="5" t="s">
        <v>60</v>
      </c>
      <c r="AK55" s="5">
        <v>44791</v>
      </c>
      <c r="AL55" s="5">
        <v>47118</v>
      </c>
      <c r="AM55" s="5">
        <v>44757</v>
      </c>
      <c r="AN55" s="2">
        <v>46583</v>
      </c>
      <c r="AO55" s="2" t="s">
        <v>66</v>
      </c>
      <c r="AP55" s="2" t="s">
        <v>67</v>
      </c>
      <c r="AQ55" s="2" t="s">
        <v>68</v>
      </c>
    </row>
    <row r="56" spans="1:43" ht="27.95">
      <c r="A56" s="2" t="s">
        <v>614</v>
      </c>
      <c r="B56" s="2" t="s">
        <v>615</v>
      </c>
      <c r="C56" s="2" t="s">
        <v>616</v>
      </c>
      <c r="D56" s="2" t="s">
        <v>617</v>
      </c>
      <c r="E56" s="2" t="s">
        <v>251</v>
      </c>
      <c r="F56" s="2" t="s">
        <v>48</v>
      </c>
      <c r="G56" s="2" t="s">
        <v>116</v>
      </c>
      <c r="H56" s="2"/>
      <c r="I56" s="2" t="s">
        <v>50</v>
      </c>
      <c r="J56" s="2" t="s">
        <v>51</v>
      </c>
      <c r="K56" s="2" t="s">
        <v>52</v>
      </c>
      <c r="L56" s="2" t="s">
        <v>618</v>
      </c>
      <c r="M56" s="2"/>
      <c r="N56" s="2" t="s">
        <v>54</v>
      </c>
      <c r="O56" s="2" t="s">
        <v>254</v>
      </c>
      <c r="P56" s="2" t="s">
        <v>619</v>
      </c>
      <c r="Q56" s="2" t="s">
        <v>122</v>
      </c>
      <c r="R56" s="2" t="s">
        <v>123</v>
      </c>
      <c r="S56" s="2" t="s">
        <v>620</v>
      </c>
      <c r="T56" s="2" t="s">
        <v>60</v>
      </c>
      <c r="U56" s="2"/>
      <c r="V56" s="2" t="s">
        <v>61</v>
      </c>
      <c r="W56" s="2" t="s">
        <v>60</v>
      </c>
      <c r="X56" s="2" t="s">
        <v>621</v>
      </c>
      <c r="Y56" s="2" t="s">
        <v>123</v>
      </c>
      <c r="Z56" s="5">
        <v>43313</v>
      </c>
      <c r="AA56" s="5">
        <v>46993</v>
      </c>
      <c r="AB56" s="2" t="s">
        <v>63</v>
      </c>
      <c r="AC56" s="2" t="s">
        <v>126</v>
      </c>
      <c r="AD56" s="2" t="s">
        <v>63</v>
      </c>
      <c r="AE56" s="2" t="s">
        <v>64</v>
      </c>
      <c r="AF56" s="2" t="s">
        <v>127</v>
      </c>
      <c r="AG56" s="2" t="s">
        <v>158</v>
      </c>
      <c r="AH56" s="2" t="s">
        <v>159</v>
      </c>
      <c r="AI56" s="2" t="s">
        <v>63</v>
      </c>
      <c r="AJ56" s="5" t="s">
        <v>60</v>
      </c>
      <c r="AK56" s="5">
        <v>44802</v>
      </c>
      <c r="AL56" s="5">
        <v>47118</v>
      </c>
      <c r="AM56" s="5">
        <v>45153</v>
      </c>
      <c r="AN56" s="2">
        <v>46980</v>
      </c>
      <c r="AO56" s="2" t="s">
        <v>66</v>
      </c>
      <c r="AP56" s="2" t="s">
        <v>67</v>
      </c>
      <c r="AQ56" s="2" t="s">
        <v>68</v>
      </c>
    </row>
    <row r="57" spans="1:43" ht="27.95">
      <c r="A57" s="2" t="s">
        <v>622</v>
      </c>
      <c r="B57" s="2" t="s">
        <v>623</v>
      </c>
      <c r="C57" s="2" t="s">
        <v>624</v>
      </c>
      <c r="D57" s="2" t="s">
        <v>625</v>
      </c>
      <c r="E57" s="2" t="s">
        <v>264</v>
      </c>
      <c r="F57" s="2" t="s">
        <v>48</v>
      </c>
      <c r="G57" s="2" t="s">
        <v>135</v>
      </c>
      <c r="H57" s="2" t="s">
        <v>179</v>
      </c>
      <c r="I57" s="2" t="s">
        <v>50</v>
      </c>
      <c r="J57" s="2" t="s">
        <v>51</v>
      </c>
      <c r="K57" s="2" t="s">
        <v>52</v>
      </c>
      <c r="L57" s="2" t="s">
        <v>626</v>
      </c>
      <c r="M57" s="2"/>
      <c r="N57" s="2" t="s">
        <v>54</v>
      </c>
      <c r="O57" s="2" t="s">
        <v>266</v>
      </c>
      <c r="P57" s="2" t="s">
        <v>627</v>
      </c>
      <c r="Q57" s="2" t="s">
        <v>140</v>
      </c>
      <c r="R57" s="2" t="s">
        <v>141</v>
      </c>
      <c r="S57" s="2" t="s">
        <v>628</v>
      </c>
      <c r="T57" s="2" t="s">
        <v>60</v>
      </c>
      <c r="U57" s="2"/>
      <c r="V57" s="2" t="s">
        <v>172</v>
      </c>
      <c r="W57" s="2" t="s">
        <v>60</v>
      </c>
      <c r="X57" s="2" t="s">
        <v>629</v>
      </c>
      <c r="Y57" s="2" t="s">
        <v>141</v>
      </c>
      <c r="Z57" s="5">
        <v>43709</v>
      </c>
      <c r="AA57" s="5">
        <v>46658</v>
      </c>
      <c r="AB57" s="2" t="s">
        <v>63</v>
      </c>
      <c r="AC57" s="2" t="s">
        <v>126</v>
      </c>
      <c r="AD57" s="2" t="s">
        <v>63</v>
      </c>
      <c r="AE57" s="2" t="s">
        <v>64</v>
      </c>
      <c r="AF57" s="2" t="s">
        <v>157</v>
      </c>
      <c r="AG57" s="2" t="s">
        <v>312</v>
      </c>
      <c r="AH57" s="2" t="s">
        <v>313</v>
      </c>
      <c r="AI57" s="2" t="s">
        <v>63</v>
      </c>
      <c r="AJ57" s="5" t="s">
        <v>60</v>
      </c>
      <c r="AK57" s="5">
        <v>44813</v>
      </c>
      <c r="AL57" s="5">
        <v>47118</v>
      </c>
      <c r="AM57" s="5">
        <v>45550</v>
      </c>
      <c r="AN57" s="2">
        <v>47376</v>
      </c>
      <c r="AO57" s="2" t="s">
        <v>66</v>
      </c>
      <c r="AP57" s="2" t="s">
        <v>67</v>
      </c>
      <c r="AQ57" s="2" t="s">
        <v>68</v>
      </c>
    </row>
    <row r="58" spans="1:43" ht="27.95">
      <c r="A58" s="2" t="s">
        <v>630</v>
      </c>
      <c r="B58" s="2" t="s">
        <v>631</v>
      </c>
      <c r="C58" s="2" t="s">
        <v>632</v>
      </c>
      <c r="D58" s="2" t="s">
        <v>633</v>
      </c>
      <c r="E58" s="2" t="s">
        <v>274</v>
      </c>
      <c r="F58" s="2" t="s">
        <v>48</v>
      </c>
      <c r="G58" s="2" t="s">
        <v>103</v>
      </c>
      <c r="H58" s="2"/>
      <c r="I58" s="2" t="s">
        <v>50</v>
      </c>
      <c r="J58" s="2" t="s">
        <v>51</v>
      </c>
      <c r="K58" s="2" t="s">
        <v>52</v>
      </c>
      <c r="L58" s="2" t="s">
        <v>634</v>
      </c>
      <c r="M58" s="2" t="s">
        <v>635</v>
      </c>
      <c r="N58" s="2" t="s">
        <v>90</v>
      </c>
      <c r="O58" s="2" t="s">
        <v>276</v>
      </c>
      <c r="P58" s="2" t="s">
        <v>636</v>
      </c>
      <c r="Q58" s="2" t="s">
        <v>153</v>
      </c>
      <c r="R58" s="2" t="s">
        <v>154</v>
      </c>
      <c r="S58" s="2" t="s">
        <v>637</v>
      </c>
      <c r="T58" s="2" t="s">
        <v>60</v>
      </c>
      <c r="U58" s="2"/>
      <c r="V58" s="2" t="s">
        <v>61</v>
      </c>
      <c r="W58" s="2" t="s">
        <v>63</v>
      </c>
      <c r="X58" s="2" t="s">
        <v>638</v>
      </c>
      <c r="Y58" s="2" t="s">
        <v>154</v>
      </c>
      <c r="Z58" s="5">
        <v>44105</v>
      </c>
      <c r="AA58" s="5">
        <v>47054</v>
      </c>
      <c r="AB58" s="2" t="s">
        <v>63</v>
      </c>
      <c r="AC58" s="2" t="s">
        <v>126</v>
      </c>
      <c r="AD58" s="2" t="s">
        <v>63</v>
      </c>
      <c r="AE58" s="2" t="s">
        <v>64</v>
      </c>
      <c r="AF58" s="2" t="s">
        <v>65</v>
      </c>
      <c r="AG58" s="2"/>
      <c r="AH58" s="2"/>
      <c r="AI58" s="2" t="s">
        <v>63</v>
      </c>
      <c r="AJ58" s="5" t="s">
        <v>60</v>
      </c>
      <c r="AK58" s="5">
        <v>44824</v>
      </c>
      <c r="AL58" s="5">
        <v>47118</v>
      </c>
      <c r="AM58" s="5">
        <v>44849</v>
      </c>
      <c r="AN58" s="2">
        <v>46675</v>
      </c>
      <c r="AO58" s="2" t="s">
        <v>66</v>
      </c>
      <c r="AP58" s="2" t="s">
        <v>67</v>
      </c>
      <c r="AQ58" s="2" t="s">
        <v>68</v>
      </c>
    </row>
    <row r="59" spans="1:43" ht="27.95">
      <c r="A59" s="2" t="s">
        <v>639</v>
      </c>
      <c r="B59" s="2" t="s">
        <v>640</v>
      </c>
      <c r="C59" s="2" t="s">
        <v>641</v>
      </c>
      <c r="D59" s="2" t="s">
        <v>642</v>
      </c>
      <c r="E59" s="2" t="s">
        <v>284</v>
      </c>
      <c r="F59" s="2" t="s">
        <v>48</v>
      </c>
      <c r="G59" s="2" t="s">
        <v>165</v>
      </c>
      <c r="H59" s="2"/>
      <c r="I59" s="2" t="s">
        <v>50</v>
      </c>
      <c r="J59" s="2" t="s">
        <v>51</v>
      </c>
      <c r="K59" s="2" t="s">
        <v>52</v>
      </c>
      <c r="L59" s="2" t="s">
        <v>643</v>
      </c>
      <c r="M59" s="2"/>
      <c r="N59" s="2" t="s">
        <v>54</v>
      </c>
      <c r="O59" s="2" t="s">
        <v>287</v>
      </c>
      <c r="P59" s="2" t="s">
        <v>644</v>
      </c>
      <c r="Q59" s="2" t="s">
        <v>169</v>
      </c>
      <c r="R59" s="2" t="s">
        <v>170</v>
      </c>
      <c r="S59" s="2" t="s">
        <v>645</v>
      </c>
      <c r="T59" s="2" t="s">
        <v>60</v>
      </c>
      <c r="U59" s="2"/>
      <c r="V59" s="2" t="s">
        <v>61</v>
      </c>
      <c r="W59" s="2" t="s">
        <v>60</v>
      </c>
      <c r="X59" s="2" t="s">
        <v>646</v>
      </c>
      <c r="Y59" s="2" t="s">
        <v>170</v>
      </c>
      <c r="Z59" s="5">
        <v>44501</v>
      </c>
      <c r="AA59" s="5">
        <v>46719</v>
      </c>
      <c r="AB59" s="2" t="s">
        <v>63</v>
      </c>
      <c r="AC59" s="2" t="s">
        <v>126</v>
      </c>
      <c r="AD59" s="2" t="s">
        <v>63</v>
      </c>
      <c r="AE59" s="2" t="s">
        <v>64</v>
      </c>
      <c r="AF59" s="2" t="s">
        <v>65</v>
      </c>
      <c r="AG59" s="2"/>
      <c r="AH59" s="2"/>
      <c r="AI59" s="2" t="s">
        <v>63</v>
      </c>
      <c r="AJ59" s="5" t="s">
        <v>60</v>
      </c>
      <c r="AK59" s="5">
        <v>44835</v>
      </c>
      <c r="AL59" s="5">
        <v>47118</v>
      </c>
      <c r="AM59" s="5">
        <v>45245</v>
      </c>
      <c r="AN59" s="2">
        <v>47072</v>
      </c>
      <c r="AO59" s="2" t="s">
        <v>66</v>
      </c>
      <c r="AP59" s="2" t="s">
        <v>67</v>
      </c>
      <c r="AQ59" s="2" t="s">
        <v>68</v>
      </c>
    </row>
    <row r="60" spans="1:43" ht="27.95">
      <c r="A60" s="2" t="s">
        <v>647</v>
      </c>
      <c r="B60" s="2" t="s">
        <v>648</v>
      </c>
      <c r="C60" s="2" t="s">
        <v>649</v>
      </c>
      <c r="D60" s="2" t="s">
        <v>650</v>
      </c>
      <c r="E60" s="2" t="s">
        <v>296</v>
      </c>
      <c r="F60" s="2" t="s">
        <v>48</v>
      </c>
      <c r="G60" s="2" t="s">
        <v>179</v>
      </c>
      <c r="H60" s="2"/>
      <c r="I60" s="2" t="s">
        <v>117</v>
      </c>
      <c r="J60" s="2" t="s">
        <v>118</v>
      </c>
      <c r="K60" s="2" t="s">
        <v>52</v>
      </c>
      <c r="L60" s="2" t="s">
        <v>651</v>
      </c>
      <c r="M60" s="2"/>
      <c r="N60" s="2" t="s">
        <v>54</v>
      </c>
      <c r="O60" s="2" t="s">
        <v>298</v>
      </c>
      <c r="P60" s="2" t="s">
        <v>652</v>
      </c>
      <c r="Q60" s="2" t="s">
        <v>184</v>
      </c>
      <c r="R60" s="2" t="s">
        <v>185</v>
      </c>
      <c r="S60" s="2" t="s">
        <v>653</v>
      </c>
      <c r="T60" s="2" t="s">
        <v>60</v>
      </c>
      <c r="U60" s="2"/>
      <c r="V60" s="2" t="s">
        <v>61</v>
      </c>
      <c r="W60" s="2" t="s">
        <v>60</v>
      </c>
      <c r="X60" s="2" t="s">
        <v>654</v>
      </c>
      <c r="Y60" s="2" t="s">
        <v>185</v>
      </c>
      <c r="Z60" s="5">
        <v>44896</v>
      </c>
      <c r="AA60" s="5">
        <v>47115</v>
      </c>
      <c r="AB60" s="2" t="s">
        <v>63</v>
      </c>
      <c r="AC60" s="2" t="s">
        <v>126</v>
      </c>
      <c r="AD60" s="2" t="s">
        <v>63</v>
      </c>
      <c r="AE60" s="2" t="s">
        <v>64</v>
      </c>
      <c r="AF60" s="2" t="s">
        <v>65</v>
      </c>
      <c r="AG60" s="2"/>
      <c r="AH60" s="2"/>
      <c r="AI60" s="2" t="s">
        <v>63</v>
      </c>
      <c r="AJ60" s="5" t="s">
        <v>60</v>
      </c>
      <c r="AK60" s="5">
        <v>44846</v>
      </c>
      <c r="AL60" s="5">
        <v>47118</v>
      </c>
      <c r="AM60" s="5">
        <v>45641</v>
      </c>
      <c r="AN60" s="2">
        <v>47467</v>
      </c>
      <c r="AO60" s="2" t="s">
        <v>66</v>
      </c>
      <c r="AP60" s="2" t="s">
        <v>67</v>
      </c>
      <c r="AQ60" s="2" t="s">
        <v>68</v>
      </c>
    </row>
    <row r="61" spans="1:43" ht="27.95">
      <c r="A61" s="2" t="s">
        <v>655</v>
      </c>
      <c r="B61" s="2" t="s">
        <v>656</v>
      </c>
      <c r="C61" s="2" t="s">
        <v>657</v>
      </c>
      <c r="D61" s="2" t="s">
        <v>658</v>
      </c>
      <c r="E61" s="2" t="s">
        <v>306</v>
      </c>
      <c r="F61" s="2" t="s">
        <v>48</v>
      </c>
      <c r="G61" s="2" t="s">
        <v>193</v>
      </c>
      <c r="H61" s="2" t="s">
        <v>87</v>
      </c>
      <c r="I61" s="2" t="s">
        <v>50</v>
      </c>
      <c r="J61" s="2" t="s">
        <v>51</v>
      </c>
      <c r="K61" s="2" t="s">
        <v>52</v>
      </c>
      <c r="L61" s="2" t="s">
        <v>659</v>
      </c>
      <c r="M61" s="2" t="s">
        <v>660</v>
      </c>
      <c r="N61" s="2" t="s">
        <v>90</v>
      </c>
      <c r="O61" s="2" t="s">
        <v>308</v>
      </c>
      <c r="P61" s="2" t="s">
        <v>661</v>
      </c>
      <c r="Q61" s="2" t="s">
        <v>197</v>
      </c>
      <c r="R61" s="2" t="s">
        <v>198</v>
      </c>
      <c r="S61" s="2" t="s">
        <v>662</v>
      </c>
      <c r="T61" s="2" t="s">
        <v>63</v>
      </c>
      <c r="U61" s="2" t="s">
        <v>663</v>
      </c>
      <c r="V61" s="2" t="s">
        <v>61</v>
      </c>
      <c r="W61" s="2" t="s">
        <v>63</v>
      </c>
      <c r="X61" s="2" t="s">
        <v>664</v>
      </c>
      <c r="Y61" s="2" t="s">
        <v>198</v>
      </c>
      <c r="Z61" s="5">
        <v>43101</v>
      </c>
      <c r="AA61" s="5">
        <v>46415</v>
      </c>
      <c r="AB61" s="2" t="s">
        <v>60</v>
      </c>
      <c r="AC61" s="2" t="s">
        <v>50</v>
      </c>
      <c r="AD61" s="2" t="s">
        <v>63</v>
      </c>
      <c r="AE61" s="2" t="s">
        <v>64</v>
      </c>
      <c r="AF61" s="2" t="s">
        <v>127</v>
      </c>
      <c r="AG61" s="2" t="s">
        <v>665</v>
      </c>
      <c r="AH61" s="2" t="s">
        <v>666</v>
      </c>
      <c r="AI61" s="2" t="s">
        <v>63</v>
      </c>
      <c r="AJ61" s="5" t="s">
        <v>60</v>
      </c>
      <c r="AK61" s="5">
        <v>44857</v>
      </c>
      <c r="AL61" s="5">
        <v>47118</v>
      </c>
      <c r="AM61" s="5">
        <v>44576</v>
      </c>
      <c r="AN61" s="2">
        <v>46402</v>
      </c>
      <c r="AO61" s="2" t="s">
        <v>66</v>
      </c>
      <c r="AP61" s="2" t="s">
        <v>67</v>
      </c>
      <c r="AQ61" s="2" t="s">
        <v>68</v>
      </c>
    </row>
    <row r="62" spans="1:43" ht="27.95">
      <c r="A62" s="2" t="s">
        <v>667</v>
      </c>
      <c r="B62" s="2" t="s">
        <v>668</v>
      </c>
      <c r="C62" s="2" t="s">
        <v>669</v>
      </c>
      <c r="D62" s="2" t="s">
        <v>670</v>
      </c>
      <c r="E62" s="2" t="s">
        <v>47</v>
      </c>
      <c r="F62" s="2" t="s">
        <v>48</v>
      </c>
      <c r="G62" s="2" t="s">
        <v>49</v>
      </c>
      <c r="H62" s="2"/>
      <c r="I62" s="2" t="s">
        <v>50</v>
      </c>
      <c r="J62" s="2" t="s">
        <v>51</v>
      </c>
      <c r="K62" s="2" t="s">
        <v>52</v>
      </c>
      <c r="L62" s="2" t="s">
        <v>671</v>
      </c>
      <c r="M62" s="2"/>
      <c r="N62" s="2" t="s">
        <v>54</v>
      </c>
      <c r="O62" s="2" t="s">
        <v>55</v>
      </c>
      <c r="P62" s="2" t="s">
        <v>672</v>
      </c>
      <c r="Q62" s="2" t="s">
        <v>57</v>
      </c>
      <c r="R62" s="2" t="s">
        <v>58</v>
      </c>
      <c r="S62" s="2" t="s">
        <v>673</v>
      </c>
      <c r="T62" s="2" t="s">
        <v>60</v>
      </c>
      <c r="U62" s="2"/>
      <c r="V62" s="2" t="s">
        <v>61</v>
      </c>
      <c r="W62" s="2" t="s">
        <v>60</v>
      </c>
      <c r="X62" s="2" t="s">
        <v>674</v>
      </c>
      <c r="Y62" s="2" t="s">
        <v>58</v>
      </c>
      <c r="Z62" s="5">
        <v>43497</v>
      </c>
      <c r="AA62" s="5">
        <v>46811</v>
      </c>
      <c r="AB62" s="2" t="s">
        <v>60</v>
      </c>
      <c r="AC62" s="2" t="s">
        <v>50</v>
      </c>
      <c r="AD62" s="2" t="s">
        <v>63</v>
      </c>
      <c r="AE62" s="2" t="s">
        <v>64</v>
      </c>
      <c r="AF62" s="2" t="s">
        <v>65</v>
      </c>
      <c r="AG62" s="2"/>
      <c r="AH62" s="2"/>
      <c r="AI62" s="2" t="s">
        <v>63</v>
      </c>
      <c r="AJ62" s="5" t="s">
        <v>60</v>
      </c>
      <c r="AK62" s="5">
        <v>44868</v>
      </c>
      <c r="AL62" s="5">
        <v>47118</v>
      </c>
      <c r="AM62" s="5">
        <v>44972</v>
      </c>
      <c r="AN62" s="2">
        <v>46798</v>
      </c>
      <c r="AO62" s="2" t="s">
        <v>66</v>
      </c>
      <c r="AP62" s="2" t="s">
        <v>67</v>
      </c>
      <c r="AQ62" s="2" t="s">
        <v>68</v>
      </c>
    </row>
    <row r="63" spans="1:43" ht="27.95">
      <c r="A63" s="2" t="s">
        <v>675</v>
      </c>
      <c r="B63" s="2" t="s">
        <v>676</v>
      </c>
      <c r="C63" s="2" t="s">
        <v>677</v>
      </c>
      <c r="D63" s="2" t="s">
        <v>678</v>
      </c>
      <c r="E63" s="2" t="s">
        <v>73</v>
      </c>
      <c r="F63" s="2" t="s">
        <v>48</v>
      </c>
      <c r="G63" s="2" t="s">
        <v>74</v>
      </c>
      <c r="H63" s="2"/>
      <c r="I63" s="2" t="s">
        <v>50</v>
      </c>
      <c r="J63" s="2" t="s">
        <v>51</v>
      </c>
      <c r="K63" s="2" t="s">
        <v>52</v>
      </c>
      <c r="L63" s="2" t="s">
        <v>679</v>
      </c>
      <c r="M63" s="2"/>
      <c r="N63" s="2" t="s">
        <v>54</v>
      </c>
      <c r="O63" s="2" t="s">
        <v>76</v>
      </c>
      <c r="P63" s="2" t="s">
        <v>680</v>
      </c>
      <c r="Q63" s="2" t="s">
        <v>78</v>
      </c>
      <c r="R63" s="2" t="s">
        <v>79</v>
      </c>
      <c r="S63" s="2" t="s">
        <v>681</v>
      </c>
      <c r="T63" s="2" t="s">
        <v>60</v>
      </c>
      <c r="U63" s="2"/>
      <c r="V63" s="2" t="s">
        <v>61</v>
      </c>
      <c r="W63" s="2" t="s">
        <v>60</v>
      </c>
      <c r="X63" s="2" t="s">
        <v>682</v>
      </c>
      <c r="Y63" s="2" t="s">
        <v>79</v>
      </c>
      <c r="Z63" s="5">
        <v>43891</v>
      </c>
      <c r="AA63" s="5">
        <v>46474</v>
      </c>
      <c r="AB63" s="2" t="s">
        <v>60</v>
      </c>
      <c r="AC63" s="2" t="s">
        <v>50</v>
      </c>
      <c r="AD63" s="2" t="s">
        <v>63</v>
      </c>
      <c r="AE63" s="2" t="s">
        <v>64</v>
      </c>
      <c r="AF63" s="2" t="s">
        <v>65</v>
      </c>
      <c r="AG63" s="2"/>
      <c r="AH63" s="2"/>
      <c r="AI63" s="2" t="s">
        <v>63</v>
      </c>
      <c r="AJ63" s="5" t="s">
        <v>60</v>
      </c>
      <c r="AK63" s="5">
        <v>44879</v>
      </c>
      <c r="AL63" s="5">
        <v>47118</v>
      </c>
      <c r="AM63" s="5">
        <v>45366</v>
      </c>
      <c r="AN63" s="2">
        <v>47192</v>
      </c>
      <c r="AO63" s="2" t="s">
        <v>66</v>
      </c>
      <c r="AP63" s="2" t="s">
        <v>67</v>
      </c>
      <c r="AQ63" s="2" t="s">
        <v>68</v>
      </c>
    </row>
    <row r="64" spans="1:43" ht="27.95">
      <c r="A64" s="2" t="s">
        <v>683</v>
      </c>
      <c r="B64" s="2" t="s">
        <v>684</v>
      </c>
      <c r="C64" s="2" t="s">
        <v>685</v>
      </c>
      <c r="D64" s="2" t="s">
        <v>686</v>
      </c>
      <c r="E64" s="2" t="s">
        <v>86</v>
      </c>
      <c r="F64" s="2" t="s">
        <v>48</v>
      </c>
      <c r="G64" s="2" t="s">
        <v>87</v>
      </c>
      <c r="H64" s="2"/>
      <c r="I64" s="2" t="s">
        <v>50</v>
      </c>
      <c r="J64" s="2" t="s">
        <v>51</v>
      </c>
      <c r="K64" s="2" t="s">
        <v>52</v>
      </c>
      <c r="L64" s="2" t="s">
        <v>687</v>
      </c>
      <c r="M64" s="2" t="s">
        <v>89</v>
      </c>
      <c r="N64" s="2" t="s">
        <v>90</v>
      </c>
      <c r="O64" s="2" t="s">
        <v>91</v>
      </c>
      <c r="P64" s="2" t="s">
        <v>688</v>
      </c>
      <c r="Q64" s="2" t="s">
        <v>93</v>
      </c>
      <c r="R64" s="2" t="s">
        <v>94</v>
      </c>
      <c r="S64" s="2" t="s">
        <v>689</v>
      </c>
      <c r="T64" s="2" t="s">
        <v>60</v>
      </c>
      <c r="U64" s="2"/>
      <c r="V64" s="2" t="s">
        <v>61</v>
      </c>
      <c r="W64" s="2" t="s">
        <v>63</v>
      </c>
      <c r="X64" s="2" t="s">
        <v>690</v>
      </c>
      <c r="Y64" s="2" t="s">
        <v>94</v>
      </c>
      <c r="Z64" s="5">
        <v>44287</v>
      </c>
      <c r="AA64" s="5">
        <v>46871</v>
      </c>
      <c r="AB64" s="2" t="s">
        <v>60</v>
      </c>
      <c r="AC64" s="2" t="s">
        <v>50</v>
      </c>
      <c r="AD64" s="2" t="s">
        <v>63</v>
      </c>
      <c r="AE64" s="2" t="s">
        <v>64</v>
      </c>
      <c r="AF64" s="2" t="s">
        <v>157</v>
      </c>
      <c r="AG64" s="2" t="s">
        <v>258</v>
      </c>
      <c r="AH64" s="2" t="s">
        <v>259</v>
      </c>
      <c r="AI64" s="2" t="s">
        <v>60</v>
      </c>
      <c r="AJ64" s="5" t="s">
        <v>60</v>
      </c>
      <c r="AK64" s="5">
        <v>44890</v>
      </c>
      <c r="AL64" s="5">
        <v>47118</v>
      </c>
      <c r="AM64" s="5">
        <v>44666</v>
      </c>
      <c r="AN64" s="2">
        <v>46492</v>
      </c>
      <c r="AO64" s="2" t="s">
        <v>66</v>
      </c>
      <c r="AP64" s="2" t="s">
        <v>67</v>
      </c>
      <c r="AQ64" s="2" t="s">
        <v>68</v>
      </c>
    </row>
    <row r="65" spans="1:43" ht="27.95">
      <c r="A65" s="2" t="s">
        <v>691</v>
      </c>
      <c r="B65" s="2" t="s">
        <v>692</v>
      </c>
      <c r="C65" s="2" t="s">
        <v>693</v>
      </c>
      <c r="D65" s="2" t="s">
        <v>694</v>
      </c>
      <c r="E65" s="2" t="s">
        <v>101</v>
      </c>
      <c r="F65" s="2" t="s">
        <v>48</v>
      </c>
      <c r="G65" s="2" t="s">
        <v>102</v>
      </c>
      <c r="H65" s="2" t="s">
        <v>103</v>
      </c>
      <c r="I65" s="2" t="s">
        <v>50</v>
      </c>
      <c r="J65" s="2" t="s">
        <v>51</v>
      </c>
      <c r="K65" s="2" t="s">
        <v>52</v>
      </c>
      <c r="L65" s="2" t="s">
        <v>695</v>
      </c>
      <c r="M65" s="2"/>
      <c r="N65" s="2" t="s">
        <v>54</v>
      </c>
      <c r="O65" s="2" t="s">
        <v>105</v>
      </c>
      <c r="P65" s="2" t="s">
        <v>696</v>
      </c>
      <c r="Q65" s="2" t="s">
        <v>107</v>
      </c>
      <c r="R65" s="2" t="s">
        <v>108</v>
      </c>
      <c r="S65" s="2" t="s">
        <v>697</v>
      </c>
      <c r="T65" s="2" t="s">
        <v>60</v>
      </c>
      <c r="U65" s="2"/>
      <c r="V65" s="2" t="s">
        <v>172</v>
      </c>
      <c r="W65" s="2" t="s">
        <v>60</v>
      </c>
      <c r="X65" s="2" t="s">
        <v>698</v>
      </c>
      <c r="Y65" s="2" t="s">
        <v>108</v>
      </c>
      <c r="Z65" s="5">
        <v>44682</v>
      </c>
      <c r="AA65" s="5">
        <v>46535</v>
      </c>
      <c r="AB65" s="2" t="s">
        <v>60</v>
      </c>
      <c r="AC65" s="2" t="s">
        <v>50</v>
      </c>
      <c r="AD65" s="2" t="s">
        <v>63</v>
      </c>
      <c r="AE65" s="2" t="s">
        <v>64</v>
      </c>
      <c r="AF65" s="2" t="s">
        <v>65</v>
      </c>
      <c r="AG65" s="2"/>
      <c r="AH65" s="2"/>
      <c r="AI65" s="2" t="s">
        <v>63</v>
      </c>
      <c r="AJ65" s="5" t="s">
        <v>60</v>
      </c>
      <c r="AK65" s="5">
        <v>44901</v>
      </c>
      <c r="AL65" s="5">
        <v>47118</v>
      </c>
      <c r="AM65" s="5">
        <v>45061</v>
      </c>
      <c r="AN65" s="2">
        <v>46888</v>
      </c>
      <c r="AO65" s="2" t="s">
        <v>66</v>
      </c>
      <c r="AP65" s="2" t="s">
        <v>67</v>
      </c>
      <c r="AQ65" s="2" t="s">
        <v>68</v>
      </c>
    </row>
    <row r="66" spans="1:43" ht="27.95">
      <c r="A66" s="2" t="s">
        <v>699</v>
      </c>
      <c r="B66" s="2" t="s">
        <v>700</v>
      </c>
      <c r="C66" s="2" t="s">
        <v>701</v>
      </c>
      <c r="D66" s="2" t="s">
        <v>702</v>
      </c>
      <c r="E66" s="2" t="s">
        <v>115</v>
      </c>
      <c r="F66" s="2" t="s">
        <v>48</v>
      </c>
      <c r="G66" s="2" t="s">
        <v>116</v>
      </c>
      <c r="H66" s="2"/>
      <c r="I66" s="2" t="s">
        <v>117</v>
      </c>
      <c r="J66" s="2" t="s">
        <v>118</v>
      </c>
      <c r="K66" s="2" t="s">
        <v>52</v>
      </c>
      <c r="L66" s="2" t="s">
        <v>703</v>
      </c>
      <c r="M66" s="2"/>
      <c r="N66" s="2" t="s">
        <v>54</v>
      </c>
      <c r="O66" s="2" t="s">
        <v>120</v>
      </c>
      <c r="P66" s="2" t="s">
        <v>704</v>
      </c>
      <c r="Q66" s="2" t="s">
        <v>122</v>
      </c>
      <c r="R66" s="2" t="s">
        <v>123</v>
      </c>
      <c r="S66" s="2" t="s">
        <v>705</v>
      </c>
      <c r="T66" s="2" t="s">
        <v>60</v>
      </c>
      <c r="U66" s="2"/>
      <c r="V66" s="2" t="s">
        <v>61</v>
      </c>
      <c r="W66" s="2" t="s">
        <v>60</v>
      </c>
      <c r="X66" s="2" t="s">
        <v>706</v>
      </c>
      <c r="Y66" s="2" t="s">
        <v>123</v>
      </c>
      <c r="Z66" s="5">
        <v>43252</v>
      </c>
      <c r="AA66" s="5">
        <v>46932</v>
      </c>
      <c r="AB66" s="2" t="s">
        <v>63</v>
      </c>
      <c r="AC66" s="2" t="s">
        <v>126</v>
      </c>
      <c r="AD66" s="2" t="s">
        <v>63</v>
      </c>
      <c r="AE66" s="2" t="s">
        <v>64</v>
      </c>
      <c r="AF66" s="2" t="s">
        <v>127</v>
      </c>
      <c r="AG66" s="2" t="s">
        <v>128</v>
      </c>
      <c r="AH66" s="2" t="s">
        <v>129</v>
      </c>
      <c r="AI66" s="2" t="s">
        <v>63</v>
      </c>
      <c r="AJ66" s="5" t="s">
        <v>60</v>
      </c>
      <c r="AK66" s="5">
        <v>44912</v>
      </c>
      <c r="AL66" s="5">
        <v>47118</v>
      </c>
      <c r="AM66" s="5">
        <v>45458</v>
      </c>
      <c r="AN66" s="2">
        <v>47284</v>
      </c>
      <c r="AO66" s="2" t="s">
        <v>66</v>
      </c>
      <c r="AP66" s="2" t="s">
        <v>67</v>
      </c>
      <c r="AQ66" s="2" t="s">
        <v>68</v>
      </c>
    </row>
    <row r="67" spans="1:43" ht="27.95">
      <c r="A67" s="2" t="s">
        <v>707</v>
      </c>
      <c r="B67" s="2" t="s">
        <v>708</v>
      </c>
      <c r="C67" s="2" t="s">
        <v>709</v>
      </c>
      <c r="D67" s="2" t="s">
        <v>710</v>
      </c>
      <c r="E67" s="2" t="s">
        <v>134</v>
      </c>
      <c r="F67" s="2" t="s">
        <v>48</v>
      </c>
      <c r="G67" s="2" t="s">
        <v>135</v>
      </c>
      <c r="H67" s="2"/>
      <c r="I67" s="2" t="s">
        <v>50</v>
      </c>
      <c r="J67" s="2" t="s">
        <v>51</v>
      </c>
      <c r="K67" s="2" t="s">
        <v>52</v>
      </c>
      <c r="L67" s="2" t="s">
        <v>711</v>
      </c>
      <c r="M67" s="2" t="s">
        <v>137</v>
      </c>
      <c r="N67" s="2" t="s">
        <v>90</v>
      </c>
      <c r="O67" s="2" t="s">
        <v>138</v>
      </c>
      <c r="P67" s="2" t="s">
        <v>712</v>
      </c>
      <c r="Q67" s="2" t="s">
        <v>140</v>
      </c>
      <c r="R67" s="2" t="s">
        <v>141</v>
      </c>
      <c r="S67" s="2" t="s">
        <v>713</v>
      </c>
      <c r="T67" s="2" t="s">
        <v>63</v>
      </c>
      <c r="U67" s="2" t="s">
        <v>714</v>
      </c>
      <c r="V67" s="2" t="s">
        <v>61</v>
      </c>
      <c r="W67" s="2" t="s">
        <v>63</v>
      </c>
      <c r="X67" s="2" t="s">
        <v>715</v>
      </c>
      <c r="Y67" s="2" t="s">
        <v>141</v>
      </c>
      <c r="Z67" s="5">
        <v>43647</v>
      </c>
      <c r="AA67" s="5">
        <v>46596</v>
      </c>
      <c r="AB67" s="2" t="s">
        <v>63</v>
      </c>
      <c r="AC67" s="2" t="s">
        <v>126</v>
      </c>
      <c r="AD67" s="2" t="s">
        <v>63</v>
      </c>
      <c r="AE67" s="2" t="s">
        <v>64</v>
      </c>
      <c r="AF67" s="2" t="s">
        <v>65</v>
      </c>
      <c r="AG67" s="2"/>
      <c r="AH67" s="2"/>
      <c r="AI67" s="2" t="s">
        <v>63</v>
      </c>
      <c r="AJ67" s="5" t="s">
        <v>60</v>
      </c>
      <c r="AK67" s="5">
        <v>44923</v>
      </c>
      <c r="AL67" s="5">
        <v>47118</v>
      </c>
      <c r="AM67" s="5">
        <v>44757</v>
      </c>
      <c r="AN67" s="2">
        <v>46583</v>
      </c>
      <c r="AO67" s="2" t="s">
        <v>66</v>
      </c>
      <c r="AP67" s="2" t="s">
        <v>67</v>
      </c>
      <c r="AQ67" s="2" t="s">
        <v>68</v>
      </c>
    </row>
    <row r="68" spans="1:43" ht="27.95">
      <c r="A68" s="2" t="s">
        <v>716</v>
      </c>
      <c r="B68" s="2" t="s">
        <v>717</v>
      </c>
      <c r="C68" s="2" t="s">
        <v>718</v>
      </c>
      <c r="D68" s="2" t="s">
        <v>719</v>
      </c>
      <c r="E68" s="2" t="s">
        <v>149</v>
      </c>
      <c r="F68" s="2" t="s">
        <v>48</v>
      </c>
      <c r="G68" s="2" t="s">
        <v>103</v>
      </c>
      <c r="H68" s="2"/>
      <c r="I68" s="2" t="s">
        <v>50</v>
      </c>
      <c r="J68" s="2" t="s">
        <v>51</v>
      </c>
      <c r="K68" s="2" t="s">
        <v>52</v>
      </c>
      <c r="L68" s="2" t="s">
        <v>720</v>
      </c>
      <c r="M68" s="2"/>
      <c r="N68" s="2" t="s">
        <v>54</v>
      </c>
      <c r="O68" s="2" t="s">
        <v>151</v>
      </c>
      <c r="P68" s="2" t="s">
        <v>721</v>
      </c>
      <c r="Q68" s="2" t="s">
        <v>153</v>
      </c>
      <c r="R68" s="2" t="s">
        <v>154</v>
      </c>
      <c r="S68" s="2" t="s">
        <v>722</v>
      </c>
      <c r="T68" s="2" t="s">
        <v>60</v>
      </c>
      <c r="U68" s="2"/>
      <c r="V68" s="2" t="s">
        <v>61</v>
      </c>
      <c r="W68" s="2" t="s">
        <v>60</v>
      </c>
      <c r="X68" s="2" t="s">
        <v>723</v>
      </c>
      <c r="Y68" s="2" t="s">
        <v>154</v>
      </c>
      <c r="Z68" s="5">
        <v>44044</v>
      </c>
      <c r="AA68" s="5">
        <v>46993</v>
      </c>
      <c r="AB68" s="2" t="s">
        <v>63</v>
      </c>
      <c r="AC68" s="2" t="s">
        <v>126</v>
      </c>
      <c r="AD68" s="2" t="s">
        <v>63</v>
      </c>
      <c r="AE68" s="2" t="s">
        <v>64</v>
      </c>
      <c r="AF68" s="2" t="s">
        <v>65</v>
      </c>
      <c r="AG68" s="2"/>
      <c r="AH68" s="2"/>
      <c r="AI68" s="2" t="s">
        <v>63</v>
      </c>
      <c r="AJ68" s="5" t="s">
        <v>60</v>
      </c>
      <c r="AK68" s="5">
        <v>44934</v>
      </c>
      <c r="AL68" s="5">
        <v>47118</v>
      </c>
      <c r="AM68" s="5">
        <v>45153</v>
      </c>
      <c r="AN68" s="2">
        <v>46980</v>
      </c>
      <c r="AO68" s="2" t="s">
        <v>66</v>
      </c>
      <c r="AP68" s="2" t="s">
        <v>67</v>
      </c>
      <c r="AQ68" s="2" t="s">
        <v>68</v>
      </c>
    </row>
    <row r="69" spans="1:43" ht="27.95">
      <c r="A69" s="2" t="s">
        <v>724</v>
      </c>
      <c r="B69" s="2" t="s">
        <v>725</v>
      </c>
      <c r="C69" s="2" t="s">
        <v>726</v>
      </c>
      <c r="D69" s="2" t="s">
        <v>727</v>
      </c>
      <c r="E69" s="2" t="s">
        <v>164</v>
      </c>
      <c r="F69" s="2" t="s">
        <v>48</v>
      </c>
      <c r="G69" s="2" t="s">
        <v>165</v>
      </c>
      <c r="H69" s="2" t="s">
        <v>49</v>
      </c>
      <c r="I69" s="2" t="s">
        <v>50</v>
      </c>
      <c r="J69" s="2" t="s">
        <v>51</v>
      </c>
      <c r="K69" s="2" t="s">
        <v>52</v>
      </c>
      <c r="L69" s="2" t="s">
        <v>728</v>
      </c>
      <c r="M69" s="2"/>
      <c r="N69" s="2" t="s">
        <v>54</v>
      </c>
      <c r="O69" s="2" t="s">
        <v>167</v>
      </c>
      <c r="P69" s="2" t="s">
        <v>729</v>
      </c>
      <c r="Q69" s="2" t="s">
        <v>169</v>
      </c>
      <c r="R69" s="2" t="s">
        <v>170</v>
      </c>
      <c r="S69" s="2" t="s">
        <v>730</v>
      </c>
      <c r="T69" s="2" t="s">
        <v>60</v>
      </c>
      <c r="U69" s="2"/>
      <c r="V69" s="2" t="s">
        <v>61</v>
      </c>
      <c r="W69" s="2" t="s">
        <v>60</v>
      </c>
      <c r="X69" s="2" t="s">
        <v>731</v>
      </c>
      <c r="Y69" s="2" t="s">
        <v>170</v>
      </c>
      <c r="Z69" s="5">
        <v>44440</v>
      </c>
      <c r="AA69" s="5">
        <v>46658</v>
      </c>
      <c r="AB69" s="2" t="s">
        <v>63</v>
      </c>
      <c r="AC69" s="2" t="s">
        <v>126</v>
      </c>
      <c r="AD69" s="2" t="s">
        <v>63</v>
      </c>
      <c r="AE69" s="2" t="s">
        <v>64</v>
      </c>
      <c r="AF69" s="2" t="s">
        <v>65</v>
      </c>
      <c r="AG69" s="2"/>
      <c r="AH69" s="2"/>
      <c r="AI69" s="2" t="s">
        <v>63</v>
      </c>
      <c r="AJ69" s="5" t="s">
        <v>60</v>
      </c>
      <c r="AK69" s="5">
        <v>44945</v>
      </c>
      <c r="AL69" s="5">
        <v>47118</v>
      </c>
      <c r="AM69" s="5">
        <v>45550</v>
      </c>
      <c r="AN69" s="2">
        <v>47376</v>
      </c>
      <c r="AO69" s="2" t="s">
        <v>66</v>
      </c>
      <c r="AP69" s="2" t="s">
        <v>67</v>
      </c>
      <c r="AQ69" s="2" t="s">
        <v>68</v>
      </c>
    </row>
    <row r="70" spans="1:43" ht="27.95">
      <c r="A70" s="2" t="s">
        <v>732</v>
      </c>
      <c r="B70" s="2" t="s">
        <v>733</v>
      </c>
      <c r="C70" s="2" t="s">
        <v>734</v>
      </c>
      <c r="D70" s="2" t="s">
        <v>735</v>
      </c>
      <c r="E70" s="2" t="s">
        <v>178</v>
      </c>
      <c r="F70" s="2" t="s">
        <v>48</v>
      </c>
      <c r="G70" s="2" t="s">
        <v>179</v>
      </c>
      <c r="H70" s="2"/>
      <c r="I70" s="2" t="s">
        <v>50</v>
      </c>
      <c r="J70" s="2" t="s">
        <v>51</v>
      </c>
      <c r="K70" s="2" t="s">
        <v>52</v>
      </c>
      <c r="L70" s="2" t="s">
        <v>736</v>
      </c>
      <c r="M70" s="2" t="s">
        <v>181</v>
      </c>
      <c r="N70" s="2" t="s">
        <v>90</v>
      </c>
      <c r="O70" s="2" t="s">
        <v>182</v>
      </c>
      <c r="P70" s="2" t="s">
        <v>737</v>
      </c>
      <c r="Q70" s="2" t="s">
        <v>184</v>
      </c>
      <c r="R70" s="2" t="s">
        <v>185</v>
      </c>
      <c r="S70" s="2" t="s">
        <v>738</v>
      </c>
      <c r="T70" s="2" t="s">
        <v>60</v>
      </c>
      <c r="U70" s="2"/>
      <c r="V70" s="2" t="s">
        <v>61</v>
      </c>
      <c r="W70" s="2" t="s">
        <v>63</v>
      </c>
      <c r="X70" s="2" t="s">
        <v>739</v>
      </c>
      <c r="Y70" s="2" t="s">
        <v>185</v>
      </c>
      <c r="Z70" s="5">
        <v>44835</v>
      </c>
      <c r="AA70" s="5">
        <v>47054</v>
      </c>
      <c r="AB70" s="2" t="s">
        <v>63</v>
      </c>
      <c r="AC70" s="2" t="s">
        <v>126</v>
      </c>
      <c r="AD70" s="2" t="s">
        <v>63</v>
      </c>
      <c r="AE70" s="2" t="s">
        <v>64</v>
      </c>
      <c r="AF70" s="2" t="s">
        <v>65</v>
      </c>
      <c r="AG70" s="2"/>
      <c r="AH70" s="2"/>
      <c r="AI70" s="2" t="s">
        <v>63</v>
      </c>
      <c r="AJ70" s="5" t="s">
        <v>60</v>
      </c>
      <c r="AK70" s="5">
        <v>44956</v>
      </c>
      <c r="AL70" s="5">
        <v>47118</v>
      </c>
      <c r="AM70" s="5">
        <v>44849</v>
      </c>
      <c r="AN70" s="2">
        <v>46675</v>
      </c>
      <c r="AO70" s="2" t="s">
        <v>66</v>
      </c>
      <c r="AP70" s="2" t="s">
        <v>67</v>
      </c>
      <c r="AQ70" s="2" t="s">
        <v>68</v>
      </c>
    </row>
    <row r="71" spans="1:43" ht="27.95">
      <c r="A71" s="2" t="s">
        <v>740</v>
      </c>
      <c r="B71" s="2" t="s">
        <v>741</v>
      </c>
      <c r="C71" s="2" t="s">
        <v>742</v>
      </c>
      <c r="D71" s="2" t="s">
        <v>743</v>
      </c>
      <c r="E71" s="2" t="s">
        <v>192</v>
      </c>
      <c r="F71" s="2" t="s">
        <v>48</v>
      </c>
      <c r="G71" s="2" t="s">
        <v>193</v>
      </c>
      <c r="H71" s="2"/>
      <c r="I71" s="2" t="s">
        <v>50</v>
      </c>
      <c r="J71" s="2" t="s">
        <v>51</v>
      </c>
      <c r="K71" s="2" t="s">
        <v>52</v>
      </c>
      <c r="L71" s="2" t="s">
        <v>744</v>
      </c>
      <c r="M71" s="2"/>
      <c r="N71" s="2" t="s">
        <v>54</v>
      </c>
      <c r="O71" s="2" t="s">
        <v>195</v>
      </c>
      <c r="P71" s="2" t="s">
        <v>745</v>
      </c>
      <c r="Q71" s="2" t="s">
        <v>197</v>
      </c>
      <c r="R71" s="2" t="s">
        <v>198</v>
      </c>
      <c r="S71" s="2" t="s">
        <v>746</v>
      </c>
      <c r="T71" s="2" t="s">
        <v>60</v>
      </c>
      <c r="U71" s="2"/>
      <c r="V71" s="2" t="s">
        <v>61</v>
      </c>
      <c r="W71" s="2" t="s">
        <v>60</v>
      </c>
      <c r="X71" s="2" t="s">
        <v>747</v>
      </c>
      <c r="Y71" s="2" t="s">
        <v>198</v>
      </c>
      <c r="Z71" s="5">
        <v>43405</v>
      </c>
      <c r="AA71" s="5">
        <v>46719</v>
      </c>
      <c r="AB71" s="2" t="s">
        <v>60</v>
      </c>
      <c r="AC71" s="2" t="s">
        <v>50</v>
      </c>
      <c r="AD71" s="2" t="s">
        <v>63</v>
      </c>
      <c r="AE71" s="2" t="s">
        <v>64</v>
      </c>
      <c r="AF71" s="2" t="s">
        <v>127</v>
      </c>
      <c r="AG71" s="2" t="s">
        <v>201</v>
      </c>
      <c r="AH71" s="2" t="s">
        <v>202</v>
      </c>
      <c r="AI71" s="2" t="s">
        <v>63</v>
      </c>
      <c r="AJ71" s="5" t="s">
        <v>60</v>
      </c>
      <c r="AK71" s="5">
        <v>44967</v>
      </c>
      <c r="AL71" s="5">
        <v>47118</v>
      </c>
      <c r="AM71" s="5">
        <v>45245</v>
      </c>
      <c r="AN71" s="2">
        <v>47072</v>
      </c>
      <c r="AO71" s="2" t="s">
        <v>66</v>
      </c>
      <c r="AP71" s="2" t="s">
        <v>67</v>
      </c>
      <c r="AQ71" s="2" t="s">
        <v>68</v>
      </c>
    </row>
    <row r="72" spans="1:43" ht="27.95">
      <c r="A72" s="2" t="s">
        <v>748</v>
      </c>
      <c r="B72" s="2" t="s">
        <v>749</v>
      </c>
      <c r="C72" s="2" t="s">
        <v>750</v>
      </c>
      <c r="D72" s="2" t="s">
        <v>751</v>
      </c>
      <c r="E72" s="2" t="s">
        <v>207</v>
      </c>
      <c r="F72" s="2" t="s">
        <v>48</v>
      </c>
      <c r="G72" s="2" t="s">
        <v>49</v>
      </c>
      <c r="H72" s="2"/>
      <c r="I72" s="2" t="s">
        <v>117</v>
      </c>
      <c r="J72" s="2" t="s">
        <v>118</v>
      </c>
      <c r="K72" s="2" t="s">
        <v>52</v>
      </c>
      <c r="L72" s="2" t="s">
        <v>752</v>
      </c>
      <c r="M72" s="2"/>
      <c r="N72" s="2" t="s">
        <v>54</v>
      </c>
      <c r="O72" s="2" t="s">
        <v>209</v>
      </c>
      <c r="P72" s="2" t="s">
        <v>753</v>
      </c>
      <c r="Q72" s="2" t="s">
        <v>57</v>
      </c>
      <c r="R72" s="2" t="s">
        <v>58</v>
      </c>
      <c r="S72" s="2" t="s">
        <v>754</v>
      </c>
      <c r="T72" s="2" t="s">
        <v>60</v>
      </c>
      <c r="U72" s="2"/>
      <c r="V72" s="2" t="s">
        <v>61</v>
      </c>
      <c r="W72" s="2" t="s">
        <v>60</v>
      </c>
      <c r="X72" s="2" t="s">
        <v>755</v>
      </c>
      <c r="Y72" s="2" t="s">
        <v>58</v>
      </c>
      <c r="Z72" s="5">
        <v>43800</v>
      </c>
      <c r="AA72" s="5">
        <v>47115</v>
      </c>
      <c r="AB72" s="2" t="s">
        <v>60</v>
      </c>
      <c r="AC72" s="2" t="s">
        <v>50</v>
      </c>
      <c r="AD72" s="2" t="s">
        <v>63</v>
      </c>
      <c r="AE72" s="2" t="s">
        <v>64</v>
      </c>
      <c r="AF72" s="2" t="s">
        <v>65</v>
      </c>
      <c r="AG72" s="2"/>
      <c r="AH72" s="2"/>
      <c r="AI72" s="2" t="s">
        <v>63</v>
      </c>
      <c r="AJ72" s="5" t="s">
        <v>60</v>
      </c>
      <c r="AK72" s="5">
        <v>44978</v>
      </c>
      <c r="AL72" s="5">
        <v>47118</v>
      </c>
      <c r="AM72" s="5">
        <v>45641</v>
      </c>
      <c r="AN72" s="2">
        <v>47467</v>
      </c>
      <c r="AO72" s="2" t="s">
        <v>66</v>
      </c>
      <c r="AP72" s="2" t="s">
        <v>67</v>
      </c>
      <c r="AQ72" s="2" t="s">
        <v>68</v>
      </c>
    </row>
    <row r="73" spans="1:43" ht="27.95">
      <c r="A73" s="2" t="s">
        <v>756</v>
      </c>
      <c r="B73" s="2" t="s">
        <v>757</v>
      </c>
      <c r="C73" s="2" t="s">
        <v>758</v>
      </c>
      <c r="D73" s="2" t="s">
        <v>759</v>
      </c>
      <c r="E73" s="2" t="s">
        <v>217</v>
      </c>
      <c r="F73" s="2" t="s">
        <v>48</v>
      </c>
      <c r="G73" s="2" t="s">
        <v>74</v>
      </c>
      <c r="H73" s="2" t="s">
        <v>116</v>
      </c>
      <c r="I73" s="2" t="s">
        <v>50</v>
      </c>
      <c r="J73" s="2" t="s">
        <v>51</v>
      </c>
      <c r="K73" s="2" t="s">
        <v>52</v>
      </c>
      <c r="L73" s="2" t="s">
        <v>760</v>
      </c>
      <c r="M73" s="2" t="s">
        <v>219</v>
      </c>
      <c r="N73" s="2" t="s">
        <v>90</v>
      </c>
      <c r="O73" s="2" t="s">
        <v>220</v>
      </c>
      <c r="P73" s="2" t="s">
        <v>761</v>
      </c>
      <c r="Q73" s="2" t="s">
        <v>78</v>
      </c>
      <c r="R73" s="2" t="s">
        <v>79</v>
      </c>
      <c r="S73" s="2" t="s">
        <v>762</v>
      </c>
      <c r="T73" s="2" t="s">
        <v>63</v>
      </c>
      <c r="U73" s="2" t="s">
        <v>763</v>
      </c>
      <c r="V73" s="2" t="s">
        <v>172</v>
      </c>
      <c r="W73" s="2" t="s">
        <v>63</v>
      </c>
      <c r="X73" s="2" t="s">
        <v>764</v>
      </c>
      <c r="Y73" s="2" t="s">
        <v>79</v>
      </c>
      <c r="Z73" s="5">
        <v>43831</v>
      </c>
      <c r="AA73" s="5">
        <v>46415</v>
      </c>
      <c r="AB73" s="2" t="s">
        <v>60</v>
      </c>
      <c r="AC73" s="2" t="s">
        <v>50</v>
      </c>
      <c r="AD73" s="2" t="s">
        <v>63</v>
      </c>
      <c r="AE73" s="2" t="s">
        <v>64</v>
      </c>
      <c r="AF73" s="2" t="s">
        <v>65</v>
      </c>
      <c r="AG73" s="2"/>
      <c r="AH73" s="2"/>
      <c r="AI73" s="2" t="s">
        <v>60</v>
      </c>
      <c r="AJ73" s="5" t="s">
        <v>60</v>
      </c>
      <c r="AK73" s="5">
        <v>44989</v>
      </c>
      <c r="AL73" s="5">
        <v>47118</v>
      </c>
      <c r="AM73" s="5">
        <v>44576</v>
      </c>
      <c r="AN73" s="2">
        <v>46402</v>
      </c>
      <c r="AO73" s="2" t="s">
        <v>66</v>
      </c>
      <c r="AP73" s="2" t="s">
        <v>67</v>
      </c>
      <c r="AQ73" s="2" t="s">
        <v>68</v>
      </c>
    </row>
    <row r="74" spans="1:43" ht="27.95">
      <c r="A74" s="2" t="s">
        <v>765</v>
      </c>
      <c r="B74" s="2" t="s">
        <v>766</v>
      </c>
      <c r="C74" s="2" t="s">
        <v>767</v>
      </c>
      <c r="D74" s="2" t="s">
        <v>768</v>
      </c>
      <c r="E74" s="2" t="s">
        <v>229</v>
      </c>
      <c r="F74" s="2" t="s">
        <v>48</v>
      </c>
      <c r="G74" s="2" t="s">
        <v>87</v>
      </c>
      <c r="H74" s="2"/>
      <c r="I74" s="2" t="s">
        <v>50</v>
      </c>
      <c r="J74" s="2" t="s">
        <v>51</v>
      </c>
      <c r="K74" s="2" t="s">
        <v>52</v>
      </c>
      <c r="L74" s="2" t="s">
        <v>769</v>
      </c>
      <c r="M74" s="2"/>
      <c r="N74" s="2" t="s">
        <v>54</v>
      </c>
      <c r="O74" s="2" t="s">
        <v>231</v>
      </c>
      <c r="P74" s="2" t="s">
        <v>770</v>
      </c>
      <c r="Q74" s="2" t="s">
        <v>93</v>
      </c>
      <c r="R74" s="2" t="s">
        <v>94</v>
      </c>
      <c r="S74" s="2" t="s">
        <v>771</v>
      </c>
      <c r="T74" s="2" t="s">
        <v>60</v>
      </c>
      <c r="U74" s="2"/>
      <c r="V74" s="2" t="s">
        <v>61</v>
      </c>
      <c r="W74" s="2" t="s">
        <v>60</v>
      </c>
      <c r="X74" s="2" t="s">
        <v>772</v>
      </c>
      <c r="Y74" s="2" t="s">
        <v>94</v>
      </c>
      <c r="Z74" s="5">
        <v>44228</v>
      </c>
      <c r="AA74" s="5">
        <v>46811</v>
      </c>
      <c r="AB74" s="2" t="s">
        <v>60</v>
      </c>
      <c r="AC74" s="2" t="s">
        <v>50</v>
      </c>
      <c r="AD74" s="2" t="s">
        <v>63</v>
      </c>
      <c r="AE74" s="2" t="s">
        <v>64</v>
      </c>
      <c r="AF74" s="2" t="s">
        <v>65</v>
      </c>
      <c r="AG74" s="2"/>
      <c r="AH74" s="2"/>
      <c r="AI74" s="2" t="s">
        <v>63</v>
      </c>
      <c r="AJ74" s="5" t="s">
        <v>60</v>
      </c>
      <c r="AK74" s="5">
        <v>45000</v>
      </c>
      <c r="AL74" s="5">
        <v>47118</v>
      </c>
      <c r="AM74" s="5">
        <v>44972</v>
      </c>
      <c r="AN74" s="2">
        <v>46798</v>
      </c>
      <c r="AO74" s="2" t="s">
        <v>66</v>
      </c>
      <c r="AP74" s="2" t="s">
        <v>67</v>
      </c>
      <c r="AQ74" s="2" t="s">
        <v>68</v>
      </c>
    </row>
    <row r="75" spans="1:43" ht="27.95">
      <c r="A75" s="2" t="s">
        <v>773</v>
      </c>
      <c r="B75" s="2" t="s">
        <v>774</v>
      </c>
      <c r="C75" s="2" t="s">
        <v>775</v>
      </c>
      <c r="D75" s="2" t="s">
        <v>776</v>
      </c>
      <c r="E75" s="2" t="s">
        <v>239</v>
      </c>
      <c r="F75" s="2" t="s">
        <v>48</v>
      </c>
      <c r="G75" s="2" t="s">
        <v>102</v>
      </c>
      <c r="H75" s="2"/>
      <c r="I75" s="2" t="s">
        <v>50</v>
      </c>
      <c r="J75" s="2" t="s">
        <v>51</v>
      </c>
      <c r="K75" s="2" t="s">
        <v>52</v>
      </c>
      <c r="L75" s="2" t="s">
        <v>777</v>
      </c>
      <c r="M75" s="2"/>
      <c r="N75" s="2" t="s">
        <v>54</v>
      </c>
      <c r="O75" s="2" t="s">
        <v>241</v>
      </c>
      <c r="P75" s="2" t="s">
        <v>778</v>
      </c>
      <c r="Q75" s="2" t="s">
        <v>107</v>
      </c>
      <c r="R75" s="2" t="s">
        <v>108</v>
      </c>
      <c r="S75" s="2" t="s">
        <v>779</v>
      </c>
      <c r="T75" s="2" t="s">
        <v>60</v>
      </c>
      <c r="U75" s="2"/>
      <c r="V75" s="2" t="s">
        <v>61</v>
      </c>
      <c r="W75" s="2" t="s">
        <v>60</v>
      </c>
      <c r="X75" s="2" t="s">
        <v>780</v>
      </c>
      <c r="Y75" s="2" t="s">
        <v>108</v>
      </c>
      <c r="Z75" s="5">
        <v>44621</v>
      </c>
      <c r="AA75" s="5">
        <v>46474</v>
      </c>
      <c r="AB75" s="2" t="s">
        <v>60</v>
      </c>
      <c r="AC75" s="2" t="s">
        <v>50</v>
      </c>
      <c r="AD75" s="2" t="s">
        <v>63</v>
      </c>
      <c r="AE75" s="2" t="s">
        <v>64</v>
      </c>
      <c r="AF75" s="2" t="s">
        <v>65</v>
      </c>
      <c r="AG75" s="2"/>
      <c r="AH75" s="2"/>
      <c r="AI75" s="2" t="s">
        <v>63</v>
      </c>
      <c r="AJ75" s="5" t="s">
        <v>60</v>
      </c>
      <c r="AK75" s="5">
        <v>45011</v>
      </c>
      <c r="AL75" s="5">
        <v>47118</v>
      </c>
      <c r="AM75" s="5">
        <v>45366</v>
      </c>
      <c r="AN75" s="2">
        <v>47192</v>
      </c>
      <c r="AO75" s="2" t="s">
        <v>66</v>
      </c>
      <c r="AP75" s="2" t="s">
        <v>67</v>
      </c>
      <c r="AQ75" s="2" t="s">
        <v>68</v>
      </c>
    </row>
    <row r="76" spans="1:43" ht="27.95">
      <c r="A76" s="2" t="s">
        <v>781</v>
      </c>
      <c r="B76" s="2" t="s">
        <v>782</v>
      </c>
      <c r="C76" s="2" t="s">
        <v>783</v>
      </c>
      <c r="D76" s="2" t="s">
        <v>784</v>
      </c>
      <c r="E76" s="2" t="s">
        <v>251</v>
      </c>
      <c r="F76" s="2" t="s">
        <v>48</v>
      </c>
      <c r="G76" s="2" t="s">
        <v>116</v>
      </c>
      <c r="H76" s="2"/>
      <c r="I76" s="2" t="s">
        <v>50</v>
      </c>
      <c r="J76" s="2" t="s">
        <v>51</v>
      </c>
      <c r="K76" s="2" t="s">
        <v>52</v>
      </c>
      <c r="L76" s="2" t="s">
        <v>785</v>
      </c>
      <c r="M76" s="2" t="s">
        <v>253</v>
      </c>
      <c r="N76" s="2" t="s">
        <v>90</v>
      </c>
      <c r="O76" s="2" t="s">
        <v>254</v>
      </c>
      <c r="P76" s="2" t="s">
        <v>786</v>
      </c>
      <c r="Q76" s="2" t="s">
        <v>122</v>
      </c>
      <c r="R76" s="2" t="s">
        <v>123</v>
      </c>
      <c r="S76" s="2" t="s">
        <v>787</v>
      </c>
      <c r="T76" s="2" t="s">
        <v>60</v>
      </c>
      <c r="U76" s="2"/>
      <c r="V76" s="2" t="s">
        <v>61</v>
      </c>
      <c r="W76" s="2" t="s">
        <v>63</v>
      </c>
      <c r="X76" s="2" t="s">
        <v>788</v>
      </c>
      <c r="Y76" s="2" t="s">
        <v>123</v>
      </c>
      <c r="Z76" s="5">
        <v>43191</v>
      </c>
      <c r="AA76" s="5">
        <v>46871</v>
      </c>
      <c r="AB76" s="2" t="s">
        <v>63</v>
      </c>
      <c r="AC76" s="2" t="s">
        <v>126</v>
      </c>
      <c r="AD76" s="2" t="s">
        <v>63</v>
      </c>
      <c r="AE76" s="2" t="s">
        <v>64</v>
      </c>
      <c r="AF76" s="2" t="s">
        <v>127</v>
      </c>
      <c r="AG76" s="2" t="s">
        <v>258</v>
      </c>
      <c r="AH76" s="2" t="s">
        <v>259</v>
      </c>
      <c r="AI76" s="2" t="s">
        <v>63</v>
      </c>
      <c r="AJ76" s="5" t="s">
        <v>60</v>
      </c>
      <c r="AK76" s="5">
        <v>45022</v>
      </c>
      <c r="AL76" s="5">
        <v>47118</v>
      </c>
      <c r="AM76" s="5">
        <v>44666</v>
      </c>
      <c r="AN76" s="2">
        <v>46492</v>
      </c>
      <c r="AO76" s="2" t="s">
        <v>66</v>
      </c>
      <c r="AP76" s="2" t="s">
        <v>67</v>
      </c>
      <c r="AQ76" s="2" t="s">
        <v>68</v>
      </c>
    </row>
    <row r="77" spans="1:43" ht="27.95">
      <c r="A77" s="2" t="s">
        <v>789</v>
      </c>
      <c r="B77" s="2" t="s">
        <v>790</v>
      </c>
      <c r="C77" s="2" t="s">
        <v>791</v>
      </c>
      <c r="D77" s="2" t="s">
        <v>792</v>
      </c>
      <c r="E77" s="2" t="s">
        <v>264</v>
      </c>
      <c r="F77" s="2" t="s">
        <v>48</v>
      </c>
      <c r="G77" s="2" t="s">
        <v>135</v>
      </c>
      <c r="H77" s="2" t="s">
        <v>179</v>
      </c>
      <c r="I77" s="2" t="s">
        <v>50</v>
      </c>
      <c r="J77" s="2" t="s">
        <v>51</v>
      </c>
      <c r="K77" s="2" t="s">
        <v>52</v>
      </c>
      <c r="L77" s="2" t="s">
        <v>793</v>
      </c>
      <c r="M77" s="2"/>
      <c r="N77" s="2" t="s">
        <v>54</v>
      </c>
      <c r="O77" s="2" t="s">
        <v>266</v>
      </c>
      <c r="P77" s="2" t="s">
        <v>794</v>
      </c>
      <c r="Q77" s="2" t="s">
        <v>140</v>
      </c>
      <c r="R77" s="2" t="s">
        <v>141</v>
      </c>
      <c r="S77" s="2" t="s">
        <v>795</v>
      </c>
      <c r="T77" s="2" t="s">
        <v>60</v>
      </c>
      <c r="U77" s="2"/>
      <c r="V77" s="2" t="s">
        <v>61</v>
      </c>
      <c r="W77" s="2" t="s">
        <v>60</v>
      </c>
      <c r="X77" s="2" t="s">
        <v>796</v>
      </c>
      <c r="Y77" s="2" t="s">
        <v>141</v>
      </c>
      <c r="Z77" s="5">
        <v>43586</v>
      </c>
      <c r="AA77" s="5">
        <v>46535</v>
      </c>
      <c r="AB77" s="2" t="s">
        <v>63</v>
      </c>
      <c r="AC77" s="2" t="s">
        <v>126</v>
      </c>
      <c r="AD77" s="2" t="s">
        <v>63</v>
      </c>
      <c r="AE77" s="2" t="s">
        <v>64</v>
      </c>
      <c r="AF77" s="2" t="s">
        <v>65</v>
      </c>
      <c r="AG77" s="2"/>
      <c r="AH77" s="2"/>
      <c r="AI77" s="2" t="s">
        <v>63</v>
      </c>
      <c r="AJ77" s="5" t="s">
        <v>60</v>
      </c>
      <c r="AK77" s="5">
        <v>45033</v>
      </c>
      <c r="AL77" s="5">
        <v>47118</v>
      </c>
      <c r="AM77" s="5">
        <v>45061</v>
      </c>
      <c r="AN77" s="2">
        <v>46888</v>
      </c>
      <c r="AO77" s="2" t="s">
        <v>66</v>
      </c>
      <c r="AP77" s="2" t="s">
        <v>67</v>
      </c>
      <c r="AQ77" s="2" t="s">
        <v>68</v>
      </c>
    </row>
    <row r="78" spans="1:43" ht="27.95">
      <c r="A78" s="2" t="s">
        <v>797</v>
      </c>
      <c r="B78" s="2" t="s">
        <v>798</v>
      </c>
      <c r="C78" s="2" t="s">
        <v>799</v>
      </c>
      <c r="D78" s="2" t="s">
        <v>800</v>
      </c>
      <c r="E78" s="2" t="s">
        <v>274</v>
      </c>
      <c r="F78" s="2" t="s">
        <v>48</v>
      </c>
      <c r="G78" s="2" t="s">
        <v>103</v>
      </c>
      <c r="H78" s="2"/>
      <c r="I78" s="2" t="s">
        <v>117</v>
      </c>
      <c r="J78" s="2" t="s">
        <v>118</v>
      </c>
      <c r="K78" s="2" t="s">
        <v>52</v>
      </c>
      <c r="L78" s="2" t="s">
        <v>801</v>
      </c>
      <c r="M78" s="2"/>
      <c r="N78" s="2" t="s">
        <v>54</v>
      </c>
      <c r="O78" s="2" t="s">
        <v>276</v>
      </c>
      <c r="P78" s="2" t="s">
        <v>802</v>
      </c>
      <c r="Q78" s="2" t="s">
        <v>153</v>
      </c>
      <c r="R78" s="2" t="s">
        <v>154</v>
      </c>
      <c r="S78" s="2" t="s">
        <v>803</v>
      </c>
      <c r="T78" s="2" t="s">
        <v>60</v>
      </c>
      <c r="U78" s="2"/>
      <c r="V78" s="2" t="s">
        <v>61</v>
      </c>
      <c r="W78" s="2" t="s">
        <v>60</v>
      </c>
      <c r="X78" s="2" t="s">
        <v>804</v>
      </c>
      <c r="Y78" s="2" t="s">
        <v>154</v>
      </c>
      <c r="Z78" s="5">
        <v>43983</v>
      </c>
      <c r="AA78" s="5">
        <v>46932</v>
      </c>
      <c r="AB78" s="2" t="s">
        <v>63</v>
      </c>
      <c r="AC78" s="2" t="s">
        <v>126</v>
      </c>
      <c r="AD78" s="2" t="s">
        <v>63</v>
      </c>
      <c r="AE78" s="2" t="s">
        <v>64</v>
      </c>
      <c r="AF78" s="2" t="s">
        <v>157</v>
      </c>
      <c r="AG78" s="2" t="s">
        <v>128</v>
      </c>
      <c r="AH78" s="2" t="s">
        <v>129</v>
      </c>
      <c r="AI78" s="2" t="s">
        <v>63</v>
      </c>
      <c r="AJ78" s="5" t="s">
        <v>60</v>
      </c>
      <c r="AK78" s="5">
        <v>45044</v>
      </c>
      <c r="AL78" s="5">
        <v>47118</v>
      </c>
      <c r="AM78" s="5">
        <v>45458</v>
      </c>
      <c r="AN78" s="2">
        <v>47284</v>
      </c>
      <c r="AO78" s="2" t="s">
        <v>66</v>
      </c>
      <c r="AP78" s="2" t="s">
        <v>67</v>
      </c>
      <c r="AQ78" s="2" t="s">
        <v>68</v>
      </c>
    </row>
    <row r="79" spans="1:43" ht="27.95">
      <c r="A79" s="2" t="s">
        <v>805</v>
      </c>
      <c r="B79" s="2" t="s">
        <v>806</v>
      </c>
      <c r="C79" s="2" t="s">
        <v>807</v>
      </c>
      <c r="D79" s="2" t="s">
        <v>808</v>
      </c>
      <c r="E79" s="2" t="s">
        <v>284</v>
      </c>
      <c r="F79" s="2" t="s">
        <v>48</v>
      </c>
      <c r="G79" s="2" t="s">
        <v>165</v>
      </c>
      <c r="H79" s="2"/>
      <c r="I79" s="2" t="s">
        <v>50</v>
      </c>
      <c r="J79" s="2" t="s">
        <v>51</v>
      </c>
      <c r="K79" s="2" t="s">
        <v>52</v>
      </c>
      <c r="L79" s="2" t="s">
        <v>809</v>
      </c>
      <c r="M79" s="2" t="s">
        <v>286</v>
      </c>
      <c r="N79" s="2" t="s">
        <v>90</v>
      </c>
      <c r="O79" s="2" t="s">
        <v>287</v>
      </c>
      <c r="P79" s="2" t="s">
        <v>810</v>
      </c>
      <c r="Q79" s="2" t="s">
        <v>169</v>
      </c>
      <c r="R79" s="2" t="s">
        <v>170</v>
      </c>
      <c r="S79" s="2" t="s">
        <v>811</v>
      </c>
      <c r="T79" s="2" t="s">
        <v>63</v>
      </c>
      <c r="U79" s="2" t="s">
        <v>812</v>
      </c>
      <c r="V79" s="2" t="s">
        <v>61</v>
      </c>
      <c r="W79" s="2" t="s">
        <v>63</v>
      </c>
      <c r="X79" s="2" t="s">
        <v>813</v>
      </c>
      <c r="Y79" s="2" t="s">
        <v>170</v>
      </c>
      <c r="Z79" s="5">
        <v>44378</v>
      </c>
      <c r="AA79" s="5">
        <v>46596</v>
      </c>
      <c r="AB79" s="2" t="s">
        <v>63</v>
      </c>
      <c r="AC79" s="2" t="s">
        <v>126</v>
      </c>
      <c r="AD79" s="2" t="s">
        <v>63</v>
      </c>
      <c r="AE79" s="2" t="s">
        <v>64</v>
      </c>
      <c r="AF79" s="2" t="s">
        <v>65</v>
      </c>
      <c r="AG79" s="2"/>
      <c r="AH79" s="2"/>
      <c r="AI79" s="2" t="s">
        <v>63</v>
      </c>
      <c r="AJ79" s="5" t="s">
        <v>60</v>
      </c>
      <c r="AK79" s="5">
        <v>45055</v>
      </c>
      <c r="AL79" s="5">
        <v>47118</v>
      </c>
      <c r="AM79" s="5">
        <v>44757</v>
      </c>
      <c r="AN79" s="2">
        <v>46583</v>
      </c>
      <c r="AO79" s="2" t="s">
        <v>66</v>
      </c>
      <c r="AP79" s="2" t="s">
        <v>67</v>
      </c>
      <c r="AQ79" s="2" t="s">
        <v>68</v>
      </c>
    </row>
    <row r="80" spans="1:43" ht="27.95">
      <c r="A80" s="2" t="s">
        <v>814</v>
      </c>
      <c r="B80" s="2" t="s">
        <v>815</v>
      </c>
      <c r="C80" s="2" t="s">
        <v>816</v>
      </c>
      <c r="D80" s="2" t="s">
        <v>817</v>
      </c>
      <c r="E80" s="2" t="s">
        <v>296</v>
      </c>
      <c r="F80" s="2" t="s">
        <v>48</v>
      </c>
      <c r="G80" s="2" t="s">
        <v>179</v>
      </c>
      <c r="H80" s="2"/>
      <c r="I80" s="2" t="s">
        <v>50</v>
      </c>
      <c r="J80" s="2" t="s">
        <v>51</v>
      </c>
      <c r="K80" s="2" t="s">
        <v>52</v>
      </c>
      <c r="L80" s="2" t="s">
        <v>818</v>
      </c>
      <c r="M80" s="2"/>
      <c r="N80" s="2" t="s">
        <v>54</v>
      </c>
      <c r="O80" s="2" t="s">
        <v>298</v>
      </c>
      <c r="P80" s="2" t="s">
        <v>819</v>
      </c>
      <c r="Q80" s="2" t="s">
        <v>184</v>
      </c>
      <c r="R80" s="2" t="s">
        <v>185</v>
      </c>
      <c r="S80" s="2" t="s">
        <v>820</v>
      </c>
      <c r="T80" s="2" t="s">
        <v>60</v>
      </c>
      <c r="U80" s="2"/>
      <c r="V80" s="2" t="s">
        <v>61</v>
      </c>
      <c r="W80" s="2" t="s">
        <v>60</v>
      </c>
      <c r="X80" s="2" t="s">
        <v>821</v>
      </c>
      <c r="Y80" s="2" t="s">
        <v>185</v>
      </c>
      <c r="Z80" s="5">
        <v>44774</v>
      </c>
      <c r="AA80" s="5">
        <v>46993</v>
      </c>
      <c r="AB80" s="2" t="s">
        <v>63</v>
      </c>
      <c r="AC80" s="2" t="s">
        <v>126</v>
      </c>
      <c r="AD80" s="2" t="s">
        <v>63</v>
      </c>
      <c r="AE80" s="2" t="s">
        <v>64</v>
      </c>
      <c r="AF80" s="2" t="s">
        <v>65</v>
      </c>
      <c r="AG80" s="2"/>
      <c r="AH80" s="2"/>
      <c r="AI80" s="2" t="s">
        <v>63</v>
      </c>
      <c r="AJ80" s="5" t="s">
        <v>60</v>
      </c>
      <c r="AK80" s="5">
        <v>45066</v>
      </c>
      <c r="AL80" s="5">
        <v>47118</v>
      </c>
      <c r="AM80" s="5">
        <v>45153</v>
      </c>
      <c r="AN80" s="2">
        <v>46980</v>
      </c>
      <c r="AO80" s="2" t="s">
        <v>66</v>
      </c>
      <c r="AP80" s="2" t="s">
        <v>67</v>
      </c>
      <c r="AQ80" s="2" t="s">
        <v>68</v>
      </c>
    </row>
    <row r="81" spans="1:43" ht="27.95">
      <c r="A81" s="2" t="s">
        <v>822</v>
      </c>
      <c r="B81" s="2" t="s">
        <v>823</v>
      </c>
      <c r="C81" s="2" t="s">
        <v>824</v>
      </c>
      <c r="D81" s="2" t="s">
        <v>825</v>
      </c>
      <c r="E81" s="2" t="s">
        <v>306</v>
      </c>
      <c r="F81" s="2" t="s">
        <v>48</v>
      </c>
      <c r="G81" s="2" t="s">
        <v>193</v>
      </c>
      <c r="H81" s="2" t="s">
        <v>87</v>
      </c>
      <c r="I81" s="2" t="s">
        <v>50</v>
      </c>
      <c r="J81" s="2" t="s">
        <v>51</v>
      </c>
      <c r="K81" s="2" t="s">
        <v>52</v>
      </c>
      <c r="L81" s="2" t="s">
        <v>826</v>
      </c>
      <c r="M81" s="2"/>
      <c r="N81" s="2" t="s">
        <v>54</v>
      </c>
      <c r="O81" s="2" t="s">
        <v>308</v>
      </c>
      <c r="P81" s="2" t="s">
        <v>827</v>
      </c>
      <c r="Q81" s="2" t="s">
        <v>197</v>
      </c>
      <c r="R81" s="2" t="s">
        <v>198</v>
      </c>
      <c r="S81" s="2" t="s">
        <v>828</v>
      </c>
      <c r="T81" s="2" t="s">
        <v>60</v>
      </c>
      <c r="U81" s="2"/>
      <c r="V81" s="2" t="s">
        <v>172</v>
      </c>
      <c r="W81" s="2" t="s">
        <v>60</v>
      </c>
      <c r="X81" s="2" t="s">
        <v>829</v>
      </c>
      <c r="Y81" s="2" t="s">
        <v>198</v>
      </c>
      <c r="Z81" s="5">
        <v>43344</v>
      </c>
      <c r="AA81" s="5">
        <v>46658</v>
      </c>
      <c r="AB81" s="2" t="s">
        <v>60</v>
      </c>
      <c r="AC81" s="2" t="s">
        <v>50</v>
      </c>
      <c r="AD81" s="2" t="s">
        <v>63</v>
      </c>
      <c r="AE81" s="2" t="s">
        <v>64</v>
      </c>
      <c r="AF81" s="2" t="s">
        <v>127</v>
      </c>
      <c r="AG81" s="2" t="s">
        <v>312</v>
      </c>
      <c r="AH81" s="2" t="s">
        <v>313</v>
      </c>
      <c r="AI81" s="2" t="s">
        <v>63</v>
      </c>
      <c r="AJ81" s="5" t="s">
        <v>60</v>
      </c>
      <c r="AK81" s="5">
        <v>45077</v>
      </c>
      <c r="AL81" s="5">
        <v>47118</v>
      </c>
      <c r="AM81" s="5">
        <v>45550</v>
      </c>
      <c r="AN81" s="2">
        <v>47376</v>
      </c>
      <c r="AO81" s="2" t="s">
        <v>66</v>
      </c>
      <c r="AP81" s="2" t="s">
        <v>67</v>
      </c>
      <c r="AQ81" s="2" t="s">
        <v>68</v>
      </c>
    </row>
    <row r="82" spans="1:43">
      <c r="Z82" s="6"/>
      <c r="AA82" s="6"/>
      <c r="AJ82" s="6"/>
      <c r="AK82" s="6"/>
      <c r="AL82" s="6"/>
      <c r="AM82" s="6"/>
    </row>
    <row r="83" spans="1:43">
      <c r="Z83" s="6"/>
      <c r="AA83" s="6"/>
      <c r="AJ83" s="6"/>
      <c r="AK83" s="6"/>
      <c r="AL83" s="6"/>
      <c r="AM83" s="6"/>
    </row>
    <row r="84" spans="1:43">
      <c r="Z84" s="6"/>
      <c r="AA84" s="6"/>
      <c r="AJ84" s="6"/>
      <c r="AK84" s="6"/>
      <c r="AL84" s="6"/>
      <c r="AM84" s="6"/>
    </row>
    <row r="85" spans="1:43">
      <c r="Z85" s="6"/>
      <c r="AA85" s="6"/>
      <c r="AJ85" s="6"/>
      <c r="AK85" s="6"/>
      <c r="AL85" s="6"/>
      <c r="AM85" s="6"/>
    </row>
    <row r="86" spans="1:43">
      <c r="Z86" s="6"/>
      <c r="AA86" s="6"/>
      <c r="AJ86" s="6"/>
      <c r="AK86" s="6"/>
      <c r="AL86" s="6"/>
      <c r="AM86" s="6"/>
    </row>
    <row r="87" spans="1:43">
      <c r="Z87" s="6"/>
      <c r="AA87" s="6"/>
      <c r="AJ87" s="6"/>
      <c r="AK87" s="6"/>
      <c r="AL87" s="6"/>
      <c r="AM87" s="6"/>
    </row>
    <row r="88" spans="1:43">
      <c r="Z88" s="6"/>
      <c r="AA88" s="6"/>
      <c r="AJ88" s="6"/>
      <c r="AK88" s="6"/>
      <c r="AL88" s="6"/>
      <c r="AM88" s="6"/>
    </row>
    <row r="89" spans="1:43">
      <c r="Z89" s="6"/>
      <c r="AA89" s="6"/>
      <c r="AJ89" s="6"/>
      <c r="AK89" s="6"/>
      <c r="AL89" s="6"/>
      <c r="AM89" s="6"/>
    </row>
    <row r="90" spans="1:43">
      <c r="Z90" s="6"/>
      <c r="AA90" s="6"/>
      <c r="AJ90" s="6"/>
      <c r="AK90" s="6"/>
      <c r="AL90" s="6"/>
      <c r="AM90" s="6"/>
    </row>
    <row r="91" spans="1:43">
      <c r="Z91" s="6"/>
      <c r="AA91" s="6"/>
      <c r="AJ91" s="6"/>
      <c r="AK91" s="6"/>
      <c r="AL91" s="6"/>
      <c r="AM91" s="6"/>
    </row>
    <row r="92" spans="1:43">
      <c r="Z92" s="6"/>
      <c r="AA92" s="6"/>
      <c r="AJ92" s="6"/>
      <c r="AK92" s="6"/>
      <c r="AL92" s="6"/>
      <c r="AM92" s="6"/>
    </row>
    <row r="93" spans="1:43">
      <c r="Z93" s="6"/>
      <c r="AA93" s="6"/>
      <c r="AJ93" s="6"/>
      <c r="AK93" s="6"/>
      <c r="AL93" s="6"/>
      <c r="AM93" s="6"/>
    </row>
    <row r="94" spans="1:43">
      <c r="Z94" s="6"/>
      <c r="AA94" s="6"/>
      <c r="AJ94" s="6"/>
      <c r="AK94" s="6"/>
      <c r="AL94" s="6"/>
      <c r="AM94" s="6"/>
    </row>
    <row r="95" spans="1:43">
      <c r="Z95" s="6"/>
      <c r="AA95" s="6"/>
      <c r="AJ95" s="6"/>
      <c r="AK95" s="6"/>
      <c r="AL95" s="6"/>
      <c r="AM95" s="6"/>
    </row>
    <row r="96" spans="1:43">
      <c r="Z96" s="6"/>
      <c r="AA96" s="6"/>
      <c r="AJ96" s="6"/>
      <c r="AK96" s="6"/>
      <c r="AL96" s="6"/>
      <c r="AM96" s="6"/>
    </row>
    <row r="97" spans="26:39">
      <c r="Z97" s="6"/>
      <c r="AA97" s="6"/>
      <c r="AJ97" s="6"/>
      <c r="AK97" s="6"/>
      <c r="AL97" s="6"/>
      <c r="AM97" s="6"/>
    </row>
    <row r="98" spans="26:39">
      <c r="Z98" s="6"/>
      <c r="AA98" s="6"/>
      <c r="AJ98" s="6"/>
      <c r="AK98" s="6"/>
      <c r="AL98" s="6"/>
      <c r="AM98" s="6"/>
    </row>
    <row r="99" spans="26:39">
      <c r="Z99" s="6"/>
      <c r="AA99" s="6"/>
      <c r="AJ99" s="6"/>
      <c r="AK99" s="6"/>
      <c r="AL99" s="6"/>
      <c r="AM99" s="6"/>
    </row>
    <row r="100" spans="26:39">
      <c r="Z100" s="6"/>
      <c r="AA100" s="6"/>
      <c r="AJ100" s="6"/>
      <c r="AK100" s="6"/>
      <c r="AL100" s="6"/>
      <c r="AM100" s="6"/>
    </row>
    <row r="101" spans="26:39">
      <c r="Z101" s="6"/>
      <c r="AA101" s="6"/>
      <c r="AJ101" s="6"/>
      <c r="AK101" s="6"/>
      <c r="AL101" s="6"/>
      <c r="AM101" s="6"/>
    </row>
    <row r="102" spans="26:39">
      <c r="Z102" s="6"/>
      <c r="AA102" s="6"/>
      <c r="AJ102" s="6"/>
      <c r="AK102" s="6"/>
      <c r="AL102" s="6"/>
      <c r="AM102" s="6"/>
    </row>
    <row r="103" spans="26:39">
      <c r="Z103" s="6"/>
      <c r="AA103" s="6"/>
      <c r="AJ103" s="6"/>
      <c r="AK103" s="6"/>
      <c r="AL103" s="6"/>
      <c r="AM103" s="6"/>
    </row>
    <row r="104" spans="26:39">
      <c r="Z104" s="6"/>
      <c r="AA104" s="6"/>
      <c r="AJ104" s="6"/>
      <c r="AK104" s="6"/>
      <c r="AL104" s="6"/>
      <c r="AM104" s="6"/>
    </row>
    <row r="105" spans="26:39">
      <c r="Z105" s="6"/>
      <c r="AA105" s="6"/>
      <c r="AJ105" s="6"/>
      <c r="AK105" s="6"/>
      <c r="AL105" s="6"/>
      <c r="AM105" s="6"/>
    </row>
    <row r="106" spans="26:39">
      <c r="Z106" s="6"/>
      <c r="AA106" s="6"/>
      <c r="AJ106" s="6"/>
      <c r="AK106" s="6"/>
      <c r="AL106" s="6"/>
      <c r="AM106" s="6"/>
    </row>
    <row r="107" spans="26:39">
      <c r="Z107" s="6"/>
      <c r="AA107" s="6"/>
      <c r="AJ107" s="6"/>
      <c r="AK107" s="6"/>
      <c r="AL107" s="6"/>
      <c r="AM107" s="6"/>
    </row>
    <row r="108" spans="26:39">
      <c r="Z108" s="6"/>
      <c r="AA108" s="6"/>
      <c r="AJ108" s="6"/>
      <c r="AK108" s="6"/>
      <c r="AL108" s="6"/>
      <c r="AM108" s="6"/>
    </row>
    <row r="109" spans="26:39">
      <c r="Z109" s="6"/>
      <c r="AA109" s="6"/>
      <c r="AJ109" s="6"/>
      <c r="AK109" s="6"/>
      <c r="AL109" s="6"/>
      <c r="AM109" s="6"/>
    </row>
    <row r="110" spans="26:39">
      <c r="Z110" s="6"/>
      <c r="AA110" s="6"/>
      <c r="AJ110" s="6"/>
      <c r="AK110" s="6"/>
      <c r="AL110" s="6"/>
      <c r="AM110" s="6"/>
    </row>
    <row r="111" spans="26:39">
      <c r="Z111" s="6"/>
      <c r="AA111" s="6"/>
      <c r="AJ111" s="6"/>
      <c r="AK111" s="6"/>
      <c r="AL111" s="6"/>
      <c r="AM111" s="6"/>
    </row>
    <row r="112" spans="26:39">
      <c r="Z112" s="6"/>
      <c r="AA112" s="6"/>
      <c r="AJ112" s="6"/>
      <c r="AK112" s="6"/>
      <c r="AL112" s="6"/>
      <c r="AM112" s="6"/>
    </row>
    <row r="113" spans="26:39">
      <c r="Z113" s="6"/>
      <c r="AA113" s="6"/>
      <c r="AJ113" s="6"/>
      <c r="AK113" s="6"/>
      <c r="AL113" s="6"/>
      <c r="AM113" s="6"/>
    </row>
    <row r="114" spans="26:39">
      <c r="Z114" s="6"/>
      <c r="AA114" s="6"/>
      <c r="AJ114" s="6"/>
      <c r="AK114" s="6"/>
      <c r="AL114" s="6"/>
      <c r="AM114" s="6"/>
    </row>
    <row r="115" spans="26:39">
      <c r="Z115" s="6"/>
      <c r="AA115" s="6"/>
      <c r="AJ115" s="6"/>
      <c r="AK115" s="6"/>
      <c r="AL115" s="6"/>
      <c r="AM115" s="6"/>
    </row>
    <row r="116" spans="26:39">
      <c r="Z116" s="6"/>
      <c r="AA116" s="6"/>
      <c r="AJ116" s="6"/>
      <c r="AK116" s="6"/>
      <c r="AL116" s="6"/>
      <c r="AM116" s="6"/>
    </row>
    <row r="117" spans="26:39">
      <c r="Z117" s="6"/>
      <c r="AA117" s="6"/>
      <c r="AJ117" s="6"/>
      <c r="AK117" s="6"/>
      <c r="AL117" s="6"/>
      <c r="AM117" s="6"/>
    </row>
    <row r="118" spans="26:39">
      <c r="Z118" s="6"/>
      <c r="AA118" s="6"/>
      <c r="AJ118" s="6"/>
      <c r="AK118" s="6"/>
      <c r="AL118" s="6"/>
      <c r="AM118" s="6"/>
    </row>
    <row r="119" spans="26:39">
      <c r="Z119" s="6"/>
      <c r="AA119" s="6"/>
      <c r="AJ119" s="6"/>
      <c r="AK119" s="6"/>
      <c r="AL119" s="6"/>
      <c r="AM119" s="6"/>
    </row>
    <row r="120" spans="26:39">
      <c r="Z120" s="6"/>
      <c r="AA120" s="6"/>
      <c r="AJ120" s="6"/>
      <c r="AK120" s="6"/>
      <c r="AL120" s="6"/>
      <c r="AM120" s="6"/>
    </row>
    <row r="121" spans="26:39">
      <c r="Z121" s="6"/>
      <c r="AA121" s="6"/>
      <c r="AJ121" s="6"/>
      <c r="AK121" s="6"/>
      <c r="AL121" s="6"/>
      <c r="AM121" s="6"/>
    </row>
    <row r="122" spans="26:39">
      <c r="Z122" s="6"/>
      <c r="AA122" s="6"/>
      <c r="AJ122" s="6"/>
      <c r="AK122" s="6"/>
      <c r="AL122" s="6"/>
      <c r="AM122" s="6"/>
    </row>
    <row r="123" spans="26:39">
      <c r="Z123" s="6"/>
      <c r="AA123" s="6"/>
      <c r="AJ123" s="6"/>
      <c r="AK123" s="6"/>
      <c r="AL123" s="6"/>
      <c r="AM123" s="6"/>
    </row>
    <row r="124" spans="26:39">
      <c r="Z124" s="6"/>
      <c r="AA124" s="6"/>
      <c r="AJ124" s="6"/>
      <c r="AK124" s="6"/>
      <c r="AL124" s="6"/>
      <c r="AM124" s="6"/>
    </row>
    <row r="125" spans="26:39">
      <c r="Z125" s="6"/>
      <c r="AA125" s="6"/>
      <c r="AJ125" s="6"/>
      <c r="AK125" s="6"/>
      <c r="AL125" s="6"/>
      <c r="AM125" s="6"/>
    </row>
    <row r="126" spans="26:39">
      <c r="Z126" s="6"/>
      <c r="AA126" s="6"/>
      <c r="AJ126" s="6"/>
      <c r="AK126" s="6"/>
      <c r="AL126" s="6"/>
      <c r="AM126" s="6"/>
    </row>
    <row r="127" spans="26:39">
      <c r="Z127" s="6"/>
      <c r="AA127" s="6"/>
      <c r="AJ127" s="6"/>
      <c r="AK127" s="6"/>
      <c r="AL127" s="6"/>
      <c r="AM127" s="6"/>
    </row>
    <row r="128" spans="26:39">
      <c r="Z128" s="6"/>
      <c r="AA128" s="6"/>
      <c r="AJ128" s="6"/>
      <c r="AK128" s="6"/>
      <c r="AL128" s="6"/>
      <c r="AM128" s="6"/>
    </row>
    <row r="129" spans="26:39">
      <c r="Z129" s="6"/>
      <c r="AA129" s="6"/>
      <c r="AJ129" s="6"/>
      <c r="AK129" s="6"/>
      <c r="AL129" s="6"/>
      <c r="AM129" s="6"/>
    </row>
    <row r="130" spans="26:39">
      <c r="Z130" s="6"/>
      <c r="AA130" s="6"/>
      <c r="AJ130" s="6"/>
      <c r="AK130" s="6"/>
      <c r="AL130" s="6"/>
      <c r="AM130" s="6"/>
    </row>
    <row r="131" spans="26:39">
      <c r="Z131" s="6"/>
      <c r="AA131" s="6"/>
      <c r="AJ131" s="6"/>
      <c r="AK131" s="6"/>
      <c r="AL131" s="6"/>
      <c r="AM131" s="6"/>
    </row>
    <row r="132" spans="26:39">
      <c r="Z132" s="6"/>
      <c r="AA132" s="6"/>
      <c r="AJ132" s="6"/>
      <c r="AK132" s="6"/>
      <c r="AL132" s="6"/>
      <c r="AM132" s="6"/>
    </row>
    <row r="133" spans="26:39">
      <c r="Z133" s="6"/>
      <c r="AA133" s="6"/>
      <c r="AJ133" s="6"/>
      <c r="AK133" s="6"/>
      <c r="AL133" s="6"/>
      <c r="AM133" s="6"/>
    </row>
    <row r="134" spans="26:39">
      <c r="Z134" s="6"/>
      <c r="AA134" s="6"/>
      <c r="AJ134" s="6"/>
      <c r="AK134" s="6"/>
      <c r="AL134" s="6"/>
      <c r="AM134" s="6"/>
    </row>
    <row r="135" spans="26:39">
      <c r="Z135" s="6"/>
      <c r="AA135" s="6"/>
      <c r="AJ135" s="6"/>
      <c r="AK135" s="6"/>
      <c r="AL135" s="6"/>
      <c r="AM135" s="6"/>
    </row>
    <row r="136" spans="26:39">
      <c r="Z136" s="6"/>
      <c r="AA136" s="6"/>
      <c r="AJ136" s="6"/>
      <c r="AK136" s="6"/>
      <c r="AL136" s="6"/>
      <c r="AM136" s="6"/>
    </row>
    <row r="137" spans="26:39">
      <c r="Z137" s="6"/>
      <c r="AA137" s="6"/>
      <c r="AJ137" s="6"/>
      <c r="AK137" s="6"/>
      <c r="AL137" s="6"/>
      <c r="AM137" s="6"/>
    </row>
    <row r="138" spans="26:39">
      <c r="Z138" s="6"/>
      <c r="AA138" s="6"/>
      <c r="AJ138" s="6"/>
      <c r="AK138" s="6"/>
      <c r="AL138" s="6"/>
      <c r="AM138" s="6"/>
    </row>
    <row r="139" spans="26:39">
      <c r="Z139" s="6"/>
      <c r="AA139" s="6"/>
      <c r="AJ139" s="6"/>
      <c r="AK139" s="6"/>
      <c r="AL139" s="6"/>
      <c r="AM139" s="6"/>
    </row>
    <row r="140" spans="26:39">
      <c r="Z140" s="6"/>
      <c r="AA140" s="6"/>
      <c r="AJ140" s="6"/>
      <c r="AK140" s="6"/>
      <c r="AL140" s="6"/>
      <c r="AM140" s="6"/>
    </row>
    <row r="141" spans="26:39">
      <c r="Z141" s="6"/>
      <c r="AA141" s="6"/>
      <c r="AJ141" s="6"/>
      <c r="AK141" s="6"/>
      <c r="AL141" s="6"/>
      <c r="AM141" s="6"/>
    </row>
    <row r="142" spans="26:39">
      <c r="Z142" s="6"/>
      <c r="AA142" s="6"/>
      <c r="AJ142" s="6"/>
      <c r="AK142" s="6"/>
      <c r="AL142" s="6"/>
      <c r="AM142" s="6"/>
    </row>
    <row r="143" spans="26:39">
      <c r="Z143" s="6"/>
      <c r="AA143" s="6"/>
      <c r="AJ143" s="6"/>
      <c r="AK143" s="6"/>
      <c r="AL143" s="6"/>
      <c r="AM143" s="6"/>
    </row>
    <row r="144" spans="26:39">
      <c r="Z144" s="6"/>
      <c r="AA144" s="6"/>
      <c r="AJ144" s="6"/>
      <c r="AK144" s="6"/>
      <c r="AL144" s="6"/>
      <c r="AM144" s="6"/>
    </row>
    <row r="145" spans="26:39">
      <c r="Z145" s="6"/>
      <c r="AA145" s="6"/>
      <c r="AJ145" s="6"/>
      <c r="AK145" s="6"/>
      <c r="AL145" s="6"/>
      <c r="AM145" s="6"/>
    </row>
    <row r="146" spans="26:39">
      <c r="Z146" s="6"/>
      <c r="AA146" s="6"/>
      <c r="AJ146" s="6"/>
      <c r="AK146" s="6"/>
      <c r="AL146" s="6"/>
      <c r="AM146" s="6"/>
    </row>
    <row r="147" spans="26:39">
      <c r="Z147" s="6"/>
      <c r="AA147" s="6"/>
      <c r="AJ147" s="6"/>
      <c r="AK147" s="6"/>
      <c r="AL147" s="6"/>
      <c r="AM147" s="6"/>
    </row>
    <row r="148" spans="26:39">
      <c r="Z148" s="6"/>
      <c r="AA148" s="6"/>
      <c r="AJ148" s="6"/>
      <c r="AK148" s="6"/>
      <c r="AL148" s="6"/>
      <c r="AM148" s="6"/>
    </row>
    <row r="149" spans="26:39">
      <c r="Z149" s="6"/>
      <c r="AA149" s="6"/>
      <c r="AJ149" s="6"/>
      <c r="AK149" s="6"/>
      <c r="AL149" s="6"/>
      <c r="AM149" s="6"/>
    </row>
    <row r="150" spans="26:39">
      <c r="Z150" s="6"/>
      <c r="AA150" s="6"/>
      <c r="AJ150" s="6"/>
      <c r="AK150" s="6"/>
      <c r="AL150" s="6"/>
      <c r="AM150" s="6"/>
    </row>
    <row r="151" spans="26:39">
      <c r="Z151" s="6"/>
      <c r="AA151" s="6"/>
      <c r="AJ151" s="6"/>
      <c r="AK151" s="6"/>
      <c r="AL151" s="6"/>
      <c r="AM151" s="6"/>
    </row>
    <row r="152" spans="26:39">
      <c r="Z152" s="6"/>
      <c r="AA152" s="6"/>
      <c r="AJ152" s="6"/>
      <c r="AK152" s="6"/>
      <c r="AL152" s="6"/>
      <c r="AM152" s="6"/>
    </row>
    <row r="153" spans="26:39">
      <c r="Z153" s="6"/>
      <c r="AA153" s="6"/>
      <c r="AJ153" s="6"/>
      <c r="AK153" s="6"/>
      <c r="AL153" s="6"/>
      <c r="AM153" s="6"/>
    </row>
    <row r="154" spans="26:39">
      <c r="Z154" s="6"/>
      <c r="AA154" s="6"/>
      <c r="AJ154" s="6"/>
      <c r="AK154" s="6"/>
      <c r="AL154" s="6"/>
      <c r="AM154" s="6"/>
    </row>
    <row r="155" spans="26:39">
      <c r="Z155" s="6"/>
      <c r="AA155" s="6"/>
      <c r="AJ155" s="6"/>
      <c r="AK155" s="6"/>
      <c r="AL155" s="6"/>
      <c r="AM155" s="6"/>
    </row>
    <row r="156" spans="26:39">
      <c r="Z156" s="6"/>
      <c r="AA156" s="6"/>
      <c r="AJ156" s="6"/>
      <c r="AK156" s="6"/>
      <c r="AL156" s="6"/>
      <c r="AM156" s="6"/>
    </row>
    <row r="157" spans="26:39">
      <c r="Z157" s="6"/>
      <c r="AA157" s="6"/>
      <c r="AJ157" s="6"/>
      <c r="AK157" s="6"/>
      <c r="AL157" s="6"/>
      <c r="AM157" s="6"/>
    </row>
    <row r="158" spans="26:39">
      <c r="Z158" s="6"/>
      <c r="AA158" s="6"/>
      <c r="AJ158" s="6"/>
      <c r="AK158" s="6"/>
      <c r="AL158" s="6"/>
      <c r="AM158" s="6"/>
    </row>
    <row r="159" spans="26:39">
      <c r="Z159" s="6"/>
      <c r="AA159" s="6"/>
      <c r="AJ159" s="6"/>
      <c r="AK159" s="6"/>
      <c r="AL159" s="6"/>
      <c r="AM159" s="6"/>
    </row>
    <row r="160" spans="26:39">
      <c r="Z160" s="6"/>
      <c r="AA160" s="6"/>
      <c r="AJ160" s="6"/>
      <c r="AK160" s="6"/>
      <c r="AL160" s="6"/>
      <c r="AM160" s="6"/>
    </row>
    <row r="161" spans="26:39">
      <c r="Z161" s="6"/>
      <c r="AA161" s="6"/>
      <c r="AJ161" s="6"/>
      <c r="AK161" s="6"/>
      <c r="AL161" s="6"/>
      <c r="AM161" s="6"/>
    </row>
    <row r="162" spans="26:39">
      <c r="Z162" s="6"/>
      <c r="AA162" s="6"/>
      <c r="AJ162" s="6"/>
      <c r="AK162" s="6"/>
      <c r="AL162" s="6"/>
      <c r="AM162" s="6"/>
    </row>
    <row r="163" spans="26:39">
      <c r="Z163" s="6"/>
      <c r="AA163" s="6"/>
      <c r="AJ163" s="6"/>
      <c r="AK163" s="6"/>
      <c r="AL163" s="6"/>
      <c r="AM163" s="6"/>
    </row>
    <row r="164" spans="26:39">
      <c r="Z164" s="6"/>
      <c r="AA164" s="6"/>
      <c r="AJ164" s="6"/>
      <c r="AK164" s="6"/>
      <c r="AL164" s="6"/>
      <c r="AM164" s="6"/>
    </row>
    <row r="165" spans="26:39">
      <c r="Z165" s="6"/>
      <c r="AA165" s="6"/>
      <c r="AJ165" s="6"/>
      <c r="AK165" s="6"/>
      <c r="AL165" s="6"/>
      <c r="AM165" s="6"/>
    </row>
    <row r="166" spans="26:39">
      <c r="Z166" s="6"/>
      <c r="AA166" s="6"/>
      <c r="AJ166" s="6"/>
      <c r="AK166" s="6"/>
      <c r="AL166" s="6"/>
      <c r="AM166" s="6"/>
    </row>
    <row r="167" spans="26:39">
      <c r="Z167" s="6"/>
      <c r="AA167" s="6"/>
      <c r="AJ167" s="6"/>
      <c r="AK167" s="6"/>
      <c r="AL167" s="6"/>
      <c r="AM167" s="6"/>
    </row>
    <row r="168" spans="26:39">
      <c r="Z168" s="6"/>
      <c r="AA168" s="6"/>
      <c r="AJ168" s="6"/>
      <c r="AK168" s="6"/>
      <c r="AL168" s="6"/>
      <c r="AM168" s="6"/>
    </row>
    <row r="169" spans="26:39">
      <c r="Z169" s="6"/>
      <c r="AA169" s="6"/>
      <c r="AJ169" s="6"/>
      <c r="AK169" s="6"/>
      <c r="AL169" s="6"/>
      <c r="AM169" s="6"/>
    </row>
    <row r="170" spans="26:39">
      <c r="Z170" s="6"/>
      <c r="AA170" s="6"/>
      <c r="AJ170" s="6"/>
      <c r="AK170" s="6"/>
      <c r="AL170" s="6"/>
      <c r="AM170" s="6"/>
    </row>
    <row r="171" spans="26:39">
      <c r="Z171" s="6"/>
      <c r="AA171" s="6"/>
      <c r="AJ171" s="6"/>
      <c r="AK171" s="6"/>
      <c r="AL171" s="6"/>
      <c r="AM171" s="6"/>
    </row>
    <row r="172" spans="26:39">
      <c r="Z172" s="6"/>
      <c r="AA172" s="6"/>
      <c r="AJ172" s="6"/>
      <c r="AK172" s="6"/>
      <c r="AL172" s="6"/>
      <c r="AM172" s="6"/>
    </row>
    <row r="173" spans="26:39">
      <c r="Z173" s="6"/>
      <c r="AA173" s="6"/>
      <c r="AJ173" s="6"/>
      <c r="AK173" s="6"/>
      <c r="AL173" s="6"/>
      <c r="AM173" s="6"/>
    </row>
    <row r="174" spans="26:39">
      <c r="Z174" s="6"/>
      <c r="AA174" s="6"/>
      <c r="AJ174" s="6"/>
      <c r="AK174" s="6"/>
      <c r="AL174" s="6"/>
      <c r="AM174" s="6"/>
    </row>
    <row r="175" spans="26:39">
      <c r="Z175" s="6"/>
      <c r="AA175" s="6"/>
      <c r="AJ175" s="6"/>
      <c r="AK175" s="6"/>
      <c r="AL175" s="6"/>
      <c r="AM175" s="6"/>
    </row>
    <row r="176" spans="26:39">
      <c r="Z176" s="6"/>
      <c r="AA176" s="6"/>
      <c r="AJ176" s="6"/>
      <c r="AK176" s="6"/>
      <c r="AL176" s="6"/>
      <c r="AM176" s="6"/>
    </row>
    <row r="177" spans="26:39">
      <c r="Z177" s="6"/>
      <c r="AA177" s="6"/>
      <c r="AJ177" s="6"/>
      <c r="AK177" s="6"/>
      <c r="AL177" s="6"/>
      <c r="AM177" s="6"/>
    </row>
    <row r="178" spans="26:39">
      <c r="Z178" s="6"/>
      <c r="AA178" s="6"/>
      <c r="AJ178" s="6"/>
      <c r="AK178" s="6"/>
      <c r="AL178" s="6"/>
      <c r="AM178" s="6"/>
    </row>
    <row r="179" spans="26:39">
      <c r="Z179" s="6"/>
      <c r="AA179" s="6"/>
      <c r="AJ179" s="6"/>
      <c r="AK179" s="6"/>
      <c r="AL179" s="6"/>
      <c r="AM179" s="6"/>
    </row>
    <row r="180" spans="26:39">
      <c r="Z180" s="6"/>
      <c r="AA180" s="6"/>
      <c r="AJ180" s="6"/>
      <c r="AK180" s="6"/>
      <c r="AL180" s="6"/>
      <c r="AM180" s="6"/>
    </row>
    <row r="181" spans="26:39">
      <c r="Z181" s="6"/>
      <c r="AA181" s="6"/>
      <c r="AJ181" s="6"/>
      <c r="AK181" s="6"/>
      <c r="AL181" s="6"/>
      <c r="AM181" s="6"/>
    </row>
    <row r="182" spans="26:39">
      <c r="Z182" s="6"/>
      <c r="AA182" s="6"/>
      <c r="AJ182" s="6"/>
      <c r="AK182" s="6"/>
      <c r="AL182" s="6"/>
      <c r="AM182" s="6"/>
    </row>
    <row r="183" spans="26:39">
      <c r="Z183" s="6"/>
      <c r="AA183" s="6"/>
      <c r="AJ183" s="6"/>
      <c r="AK183" s="6"/>
      <c r="AL183" s="6"/>
      <c r="AM183" s="6"/>
    </row>
    <row r="184" spans="26:39">
      <c r="Z184" s="6"/>
      <c r="AA184" s="6"/>
      <c r="AJ184" s="6"/>
      <c r="AK184" s="6"/>
      <c r="AL184" s="6"/>
      <c r="AM184" s="6"/>
    </row>
    <row r="185" spans="26:39">
      <c r="Z185" s="6"/>
      <c r="AA185" s="6"/>
      <c r="AJ185" s="6"/>
      <c r="AK185" s="6"/>
      <c r="AL185" s="6"/>
      <c r="AM185" s="6"/>
    </row>
    <row r="186" spans="26:39">
      <c r="Z186" s="6"/>
      <c r="AA186" s="6"/>
      <c r="AJ186" s="6"/>
      <c r="AK186" s="6"/>
      <c r="AL186" s="6"/>
      <c r="AM186" s="6"/>
    </row>
    <row r="187" spans="26:39">
      <c r="Z187" s="6"/>
      <c r="AA187" s="6"/>
      <c r="AJ187" s="6"/>
      <c r="AK187" s="6"/>
      <c r="AL187" s="6"/>
      <c r="AM187" s="6"/>
    </row>
    <row r="188" spans="26:39">
      <c r="Z188" s="6"/>
      <c r="AA188" s="6"/>
      <c r="AJ188" s="6"/>
      <c r="AK188" s="6"/>
      <c r="AL188" s="6"/>
      <c r="AM188" s="6"/>
    </row>
    <row r="189" spans="26:39">
      <c r="Z189" s="6"/>
      <c r="AA189" s="6"/>
      <c r="AJ189" s="6"/>
      <c r="AK189" s="6"/>
      <c r="AL189" s="6"/>
      <c r="AM189" s="6"/>
    </row>
    <row r="190" spans="26:39">
      <c r="Z190" s="6"/>
      <c r="AA190" s="6"/>
      <c r="AJ190" s="6"/>
      <c r="AK190" s="6"/>
      <c r="AL190" s="6"/>
      <c r="AM190" s="6"/>
    </row>
    <row r="191" spans="26:39">
      <c r="Z191" s="6"/>
      <c r="AA191" s="6"/>
      <c r="AJ191" s="6"/>
      <c r="AK191" s="6"/>
      <c r="AL191" s="6"/>
      <c r="AM191" s="6"/>
    </row>
    <row r="192" spans="26:39">
      <c r="Z192" s="6"/>
      <c r="AA192" s="6"/>
      <c r="AJ192" s="6"/>
      <c r="AK192" s="6"/>
      <c r="AL192" s="6"/>
      <c r="AM192" s="6"/>
    </row>
    <row r="193" spans="26:39">
      <c r="Z193" s="6"/>
      <c r="AA193" s="6"/>
      <c r="AJ193" s="6"/>
      <c r="AK193" s="6"/>
      <c r="AL193" s="6"/>
      <c r="AM193" s="6"/>
    </row>
    <row r="194" spans="26:39">
      <c r="Z194" s="6"/>
      <c r="AA194" s="6"/>
      <c r="AJ194" s="6"/>
      <c r="AK194" s="6"/>
      <c r="AL194" s="6"/>
      <c r="AM194" s="6"/>
    </row>
    <row r="195" spans="26:39">
      <c r="Z195" s="6"/>
      <c r="AA195" s="6"/>
      <c r="AJ195" s="6"/>
      <c r="AK195" s="6"/>
      <c r="AL195" s="6"/>
      <c r="AM195" s="6"/>
    </row>
    <row r="196" spans="26:39">
      <c r="Z196" s="6"/>
      <c r="AA196" s="6"/>
      <c r="AJ196" s="6"/>
      <c r="AK196" s="6"/>
      <c r="AL196" s="6"/>
      <c r="AM196" s="6"/>
    </row>
    <row r="197" spans="26:39">
      <c r="Z197" s="6"/>
      <c r="AA197" s="6"/>
      <c r="AJ197" s="6"/>
      <c r="AK197" s="6"/>
      <c r="AL197" s="6"/>
      <c r="AM197" s="6"/>
    </row>
    <row r="198" spans="26:39">
      <c r="Z198" s="6"/>
      <c r="AA198" s="6"/>
      <c r="AJ198" s="6"/>
      <c r="AK198" s="6"/>
      <c r="AL198" s="6"/>
      <c r="AM198" s="6"/>
    </row>
    <row r="199" spans="26:39">
      <c r="Z199" s="6"/>
      <c r="AA199" s="6"/>
      <c r="AJ199" s="6"/>
      <c r="AK199" s="6"/>
      <c r="AL199" s="6"/>
      <c r="AM199" s="6"/>
    </row>
    <row r="200" spans="26:39">
      <c r="Z200" s="6"/>
      <c r="AA200" s="6"/>
      <c r="AJ200" s="6"/>
      <c r="AK200" s="6"/>
      <c r="AL200" s="6"/>
      <c r="AM200" s="6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200"/>
  <sheetViews>
    <sheetView workbookViewId="0">
      <selection activeCell="M4" sqref="M4"/>
    </sheetView>
  </sheetViews>
  <sheetFormatPr defaultRowHeight="14.1"/>
  <cols>
    <col min="1" max="1" width="18" customWidth="1"/>
    <col min="2" max="2" width="23.125" customWidth="1"/>
    <col min="3" max="3" width="9.375" customWidth="1"/>
    <col min="4" max="4" width="10.75" customWidth="1"/>
    <col min="5" max="5" width="20.875" customWidth="1"/>
    <col min="6" max="6" width="20.75" customWidth="1"/>
    <col min="7" max="7" width="11.875" customWidth="1"/>
    <col min="8" max="8" width="8.125" customWidth="1"/>
    <col min="9" max="9" width="18.125" customWidth="1"/>
    <col min="10" max="10" width="22.75" customWidth="1"/>
    <col min="11" max="11" width="19.75" customWidth="1"/>
    <col min="12" max="13" width="38" style="9" customWidth="1"/>
    <col min="14" max="14" width="16" customWidth="1"/>
    <col min="15" max="15" width="21.375" customWidth="1"/>
    <col min="16" max="16" width="76.375" customWidth="1"/>
    <col min="17" max="17" width="20.125" customWidth="1"/>
    <col min="18" max="18" width="28" customWidth="1"/>
    <col min="19" max="19" width="27.625" customWidth="1"/>
    <col min="20" max="23" width="42" customWidth="1"/>
    <col min="24" max="24" width="22.5" customWidth="1"/>
    <col min="25" max="25" width="23.875" customWidth="1"/>
  </cols>
  <sheetData>
    <row r="1" spans="1:25" ht="27.95">
      <c r="A1" s="1" t="s">
        <v>830</v>
      </c>
      <c r="B1" s="1" t="s">
        <v>831</v>
      </c>
      <c r="C1" s="1" t="s">
        <v>1</v>
      </c>
      <c r="D1" s="1" t="s">
        <v>832</v>
      </c>
      <c r="E1" s="1" t="s">
        <v>833</v>
      </c>
      <c r="F1" s="1" t="s">
        <v>834</v>
      </c>
      <c r="G1" s="1" t="s">
        <v>835</v>
      </c>
      <c r="H1" s="1" t="s">
        <v>836</v>
      </c>
      <c r="I1" s="1" t="s">
        <v>837</v>
      </c>
      <c r="J1" s="1" t="s">
        <v>838</v>
      </c>
      <c r="K1" s="1" t="s">
        <v>839</v>
      </c>
      <c r="L1" s="7" t="s">
        <v>840</v>
      </c>
      <c r="M1" s="7" t="s">
        <v>841</v>
      </c>
      <c r="N1" s="1" t="s">
        <v>842</v>
      </c>
      <c r="O1" s="1" t="s">
        <v>843</v>
      </c>
      <c r="P1" s="1" t="s">
        <v>844</v>
      </c>
      <c r="Q1" s="1" t="s">
        <v>845</v>
      </c>
      <c r="R1" s="1" t="s">
        <v>846</v>
      </c>
      <c r="S1" s="1" t="s">
        <v>847</v>
      </c>
      <c r="T1" s="1" t="s">
        <v>848</v>
      </c>
      <c r="U1" s="1" t="s">
        <v>849</v>
      </c>
      <c r="V1" s="1" t="s">
        <v>850</v>
      </c>
      <c r="W1" s="1" t="s">
        <v>851</v>
      </c>
      <c r="X1" s="1" t="s">
        <v>852</v>
      </c>
      <c r="Y1" s="1" t="s">
        <v>853</v>
      </c>
    </row>
    <row r="2" spans="1:25" ht="42">
      <c r="A2" s="10" t="s">
        <v>854</v>
      </c>
      <c r="B2" s="10" t="s">
        <v>160</v>
      </c>
      <c r="C2" s="10" t="s">
        <v>161</v>
      </c>
      <c r="D2" s="11">
        <v>46175</v>
      </c>
      <c r="E2" s="11">
        <v>46171</v>
      </c>
      <c r="F2" s="10" t="s">
        <v>855</v>
      </c>
      <c r="G2" s="10" t="s">
        <v>856</v>
      </c>
      <c r="H2" s="10" t="s">
        <v>52</v>
      </c>
      <c r="I2" s="10" t="s">
        <v>48</v>
      </c>
      <c r="J2" s="10" t="s">
        <v>60</v>
      </c>
      <c r="K2" s="10" t="s">
        <v>60</v>
      </c>
      <c r="L2" s="10" t="s">
        <v>857</v>
      </c>
      <c r="M2" s="10" t="s">
        <v>858</v>
      </c>
      <c r="N2" s="10" t="s">
        <v>170</v>
      </c>
      <c r="O2" s="10" t="s">
        <v>60</v>
      </c>
      <c r="P2" s="10" t="s">
        <v>859</v>
      </c>
      <c r="Q2" s="10" t="s">
        <v>63</v>
      </c>
      <c r="R2" s="11"/>
      <c r="S2" s="10" t="s">
        <v>860</v>
      </c>
      <c r="T2" s="10" t="s">
        <v>861</v>
      </c>
      <c r="U2" s="10" t="s">
        <v>862</v>
      </c>
      <c r="V2" s="10" t="s">
        <v>863</v>
      </c>
      <c r="W2" s="10" t="s">
        <v>864</v>
      </c>
      <c r="X2" s="10" t="s">
        <v>865</v>
      </c>
      <c r="Y2" s="10" t="s">
        <v>866</v>
      </c>
    </row>
    <row r="3" spans="1:25" ht="42">
      <c r="A3" s="10" t="s">
        <v>867</v>
      </c>
      <c r="B3" s="10" t="s">
        <v>247</v>
      </c>
      <c r="C3" s="10" t="s">
        <v>248</v>
      </c>
      <c r="D3" s="11">
        <v>46176</v>
      </c>
      <c r="E3" s="11">
        <v>46173</v>
      </c>
      <c r="F3" s="10" t="s">
        <v>868</v>
      </c>
      <c r="G3" s="10" t="s">
        <v>869</v>
      </c>
      <c r="H3" s="10" t="s">
        <v>52</v>
      </c>
      <c r="I3" s="10" t="s">
        <v>48</v>
      </c>
      <c r="J3" s="10" t="s">
        <v>60</v>
      </c>
      <c r="K3" s="10" t="s">
        <v>60</v>
      </c>
      <c r="L3" s="10"/>
      <c r="M3" s="10" t="s">
        <v>870</v>
      </c>
      <c r="N3" s="10"/>
      <c r="O3" s="10" t="s">
        <v>871</v>
      </c>
      <c r="P3" s="10" t="s">
        <v>859</v>
      </c>
      <c r="Q3" s="10" t="s">
        <v>63</v>
      </c>
      <c r="R3" s="11"/>
      <c r="S3" s="10" t="s">
        <v>860</v>
      </c>
      <c r="T3" s="10" t="s">
        <v>861</v>
      </c>
      <c r="U3" s="10" t="s">
        <v>862</v>
      </c>
      <c r="V3" s="10" t="s">
        <v>863</v>
      </c>
      <c r="W3" s="10" t="s">
        <v>872</v>
      </c>
      <c r="X3" s="10" t="s">
        <v>873</v>
      </c>
      <c r="Y3" s="10" t="s">
        <v>874</v>
      </c>
    </row>
    <row r="4" spans="1:25" ht="27.95">
      <c r="A4" s="2" t="s">
        <v>875</v>
      </c>
      <c r="B4" s="2" t="s">
        <v>325</v>
      </c>
      <c r="C4" s="2" t="s">
        <v>326</v>
      </c>
      <c r="D4" s="5">
        <v>46177</v>
      </c>
      <c r="E4" s="5">
        <v>46175</v>
      </c>
      <c r="F4" s="2" t="s">
        <v>876</v>
      </c>
      <c r="G4" s="2" t="s">
        <v>869</v>
      </c>
      <c r="H4" s="2" t="s">
        <v>52</v>
      </c>
      <c r="I4" s="2" t="s">
        <v>48</v>
      </c>
      <c r="J4" s="2" t="s">
        <v>60</v>
      </c>
      <c r="K4" s="2" t="s">
        <v>60</v>
      </c>
      <c r="L4" s="8" t="s">
        <v>61</v>
      </c>
      <c r="M4" s="8" t="s">
        <v>877</v>
      </c>
      <c r="N4" s="2"/>
      <c r="O4" s="2" t="s">
        <v>871</v>
      </c>
      <c r="P4" s="2" t="s">
        <v>859</v>
      </c>
      <c r="Q4" s="2" t="s">
        <v>63</v>
      </c>
      <c r="R4" s="5"/>
      <c r="S4" s="2" t="s">
        <v>860</v>
      </c>
      <c r="T4" s="2" t="s">
        <v>861</v>
      </c>
      <c r="U4" s="2" t="s">
        <v>862</v>
      </c>
      <c r="V4" s="2" t="s">
        <v>863</v>
      </c>
      <c r="W4" s="2" t="s">
        <v>878</v>
      </c>
      <c r="X4" s="2" t="s">
        <v>879</v>
      </c>
      <c r="Y4" s="2" t="s">
        <v>880</v>
      </c>
    </row>
    <row r="5" spans="1:25" ht="42">
      <c r="A5" s="12" t="s">
        <v>881</v>
      </c>
      <c r="B5" s="12" t="s">
        <v>388</v>
      </c>
      <c r="C5" s="12" t="s">
        <v>389</v>
      </c>
      <c r="D5" s="13">
        <v>46178</v>
      </c>
      <c r="E5" s="13">
        <v>46177</v>
      </c>
      <c r="F5" s="12" t="s">
        <v>882</v>
      </c>
      <c r="G5" s="12" t="s">
        <v>869</v>
      </c>
      <c r="H5" s="12" t="s">
        <v>52</v>
      </c>
      <c r="I5" s="12" t="s">
        <v>48</v>
      </c>
      <c r="J5" s="12" t="s">
        <v>60</v>
      </c>
      <c r="K5" s="12" t="s">
        <v>63</v>
      </c>
      <c r="L5" s="12" t="s">
        <v>179</v>
      </c>
      <c r="M5" s="12" t="s">
        <v>135</v>
      </c>
      <c r="N5" s="12"/>
      <c r="O5" s="12" t="s">
        <v>871</v>
      </c>
      <c r="P5" s="12" t="s">
        <v>883</v>
      </c>
      <c r="Q5" s="12" t="s">
        <v>63</v>
      </c>
      <c r="R5" s="13"/>
      <c r="S5" s="12" t="s">
        <v>860</v>
      </c>
      <c r="T5" s="12" t="s">
        <v>861</v>
      </c>
      <c r="U5" s="12" t="s">
        <v>862</v>
      </c>
      <c r="V5" s="12" t="s">
        <v>863</v>
      </c>
      <c r="W5" s="12" t="s">
        <v>884</v>
      </c>
      <c r="X5" s="12" t="s">
        <v>885</v>
      </c>
      <c r="Y5" s="12" t="s">
        <v>886</v>
      </c>
    </row>
    <row r="6" spans="1:25" ht="27.95">
      <c r="A6" s="2" t="s">
        <v>887</v>
      </c>
      <c r="B6" s="2" t="s">
        <v>451</v>
      </c>
      <c r="C6" s="2" t="s">
        <v>452</v>
      </c>
      <c r="D6" s="5">
        <v>46179</v>
      </c>
      <c r="E6" s="5">
        <v>46179</v>
      </c>
      <c r="F6" s="2" t="s">
        <v>888</v>
      </c>
      <c r="G6" s="2" t="s">
        <v>856</v>
      </c>
      <c r="H6" s="2" t="s">
        <v>52</v>
      </c>
      <c r="I6" s="2" t="s">
        <v>48</v>
      </c>
      <c r="J6" s="2" t="s">
        <v>60</v>
      </c>
      <c r="K6" s="2" t="s">
        <v>60</v>
      </c>
      <c r="L6" s="8" t="s">
        <v>64</v>
      </c>
      <c r="M6" s="8" t="s">
        <v>889</v>
      </c>
      <c r="N6" s="2"/>
      <c r="O6" s="2" t="s">
        <v>871</v>
      </c>
      <c r="P6" s="2" t="s">
        <v>890</v>
      </c>
      <c r="Q6" s="2" t="s">
        <v>63</v>
      </c>
      <c r="R6" s="5"/>
      <c r="S6" s="2" t="s">
        <v>860</v>
      </c>
      <c r="T6" s="2" t="s">
        <v>861</v>
      </c>
      <c r="U6" s="2" t="s">
        <v>862</v>
      </c>
      <c r="V6" s="2" t="s">
        <v>863</v>
      </c>
      <c r="W6" s="2" t="s">
        <v>891</v>
      </c>
      <c r="X6" s="2" t="s">
        <v>892</v>
      </c>
      <c r="Y6" s="2" t="s">
        <v>893</v>
      </c>
    </row>
    <row r="7" spans="1:25" ht="27.95">
      <c r="A7" s="2" t="s">
        <v>894</v>
      </c>
      <c r="B7" s="2" t="s">
        <v>512</v>
      </c>
      <c r="C7" s="2" t="s">
        <v>513</v>
      </c>
      <c r="D7" s="5">
        <v>46180</v>
      </c>
      <c r="E7" s="5">
        <v>46181</v>
      </c>
      <c r="F7" s="2" t="s">
        <v>888</v>
      </c>
      <c r="G7" s="2" t="s">
        <v>895</v>
      </c>
      <c r="H7" s="2" t="s">
        <v>52</v>
      </c>
      <c r="I7" s="2" t="s">
        <v>48</v>
      </c>
      <c r="J7" s="2" t="s">
        <v>60</v>
      </c>
      <c r="K7" s="2" t="s">
        <v>60</v>
      </c>
      <c r="L7" s="8" t="s">
        <v>64</v>
      </c>
      <c r="M7" s="8" t="s">
        <v>896</v>
      </c>
      <c r="N7" s="2"/>
      <c r="O7" s="2" t="s">
        <v>871</v>
      </c>
      <c r="P7" s="2" t="s">
        <v>890</v>
      </c>
      <c r="Q7" s="2" t="s">
        <v>63</v>
      </c>
      <c r="R7" s="5"/>
      <c r="S7" s="2" t="s">
        <v>860</v>
      </c>
      <c r="T7" s="2" t="s">
        <v>861</v>
      </c>
      <c r="U7" s="2" t="s">
        <v>862</v>
      </c>
      <c r="V7" s="2" t="s">
        <v>863</v>
      </c>
      <c r="W7" s="2" t="s">
        <v>891</v>
      </c>
      <c r="X7" s="2" t="s">
        <v>897</v>
      </c>
      <c r="Y7" s="2" t="s">
        <v>898</v>
      </c>
    </row>
    <row r="8" spans="1:25" ht="27.95">
      <c r="A8" s="2" t="s">
        <v>899</v>
      </c>
      <c r="B8" s="2" t="s">
        <v>571</v>
      </c>
      <c r="C8" s="2" t="s">
        <v>572</v>
      </c>
      <c r="D8" s="5">
        <v>46181</v>
      </c>
      <c r="E8" s="5">
        <v>46183</v>
      </c>
      <c r="F8" s="2" t="s">
        <v>900</v>
      </c>
      <c r="G8" s="2" t="s">
        <v>856</v>
      </c>
      <c r="H8" s="2" t="s">
        <v>52</v>
      </c>
      <c r="I8" s="2" t="s">
        <v>48</v>
      </c>
      <c r="J8" s="2" t="s">
        <v>60</v>
      </c>
      <c r="K8" s="2" t="s">
        <v>60</v>
      </c>
      <c r="L8" s="8" t="s">
        <v>246</v>
      </c>
      <c r="M8" s="8" t="s">
        <v>901</v>
      </c>
      <c r="N8" s="2"/>
      <c r="O8" s="2" t="s">
        <v>871</v>
      </c>
      <c r="P8" s="2" t="s">
        <v>902</v>
      </c>
      <c r="Q8" s="2" t="s">
        <v>63</v>
      </c>
      <c r="R8" s="5"/>
      <c r="S8" s="2" t="s">
        <v>860</v>
      </c>
      <c r="T8" s="2" t="s">
        <v>861</v>
      </c>
      <c r="U8" s="2" t="s">
        <v>862</v>
      </c>
      <c r="V8" s="2" t="s">
        <v>863</v>
      </c>
      <c r="W8" s="2" t="s">
        <v>903</v>
      </c>
      <c r="X8" s="2" t="s">
        <v>904</v>
      </c>
      <c r="Y8" s="2" t="s">
        <v>905</v>
      </c>
    </row>
    <row r="9" spans="1:25" ht="42">
      <c r="A9" s="2" t="s">
        <v>906</v>
      </c>
      <c r="B9" s="2" t="s">
        <v>630</v>
      </c>
      <c r="C9" s="2" t="s">
        <v>631</v>
      </c>
      <c r="D9" s="5">
        <v>46182</v>
      </c>
      <c r="E9" s="5">
        <v>46185</v>
      </c>
      <c r="F9" s="2" t="s">
        <v>907</v>
      </c>
      <c r="G9" s="2" t="s">
        <v>856</v>
      </c>
      <c r="H9" s="2" t="s">
        <v>52</v>
      </c>
      <c r="I9" s="2" t="s">
        <v>48</v>
      </c>
      <c r="J9" s="2" t="s">
        <v>60</v>
      </c>
      <c r="K9" s="2" t="s">
        <v>63</v>
      </c>
      <c r="L9" s="8" t="s">
        <v>908</v>
      </c>
      <c r="M9" s="8" t="s">
        <v>909</v>
      </c>
      <c r="N9" s="2"/>
      <c r="O9" s="2" t="s">
        <v>871</v>
      </c>
      <c r="P9" s="2" t="s">
        <v>859</v>
      </c>
      <c r="Q9" s="2" t="s">
        <v>63</v>
      </c>
      <c r="R9" s="5"/>
      <c r="S9" s="2" t="s">
        <v>910</v>
      </c>
      <c r="T9" s="2" t="s">
        <v>861</v>
      </c>
      <c r="U9" s="2" t="s">
        <v>911</v>
      </c>
      <c r="V9" s="2" t="s">
        <v>912</v>
      </c>
      <c r="W9" s="2" t="s">
        <v>913</v>
      </c>
      <c r="X9" s="2" t="s">
        <v>914</v>
      </c>
      <c r="Y9" s="2" t="s">
        <v>915</v>
      </c>
    </row>
    <row r="10" spans="1:25" ht="27.95">
      <c r="A10" s="2" t="s">
        <v>916</v>
      </c>
      <c r="B10" s="2" t="s">
        <v>691</v>
      </c>
      <c r="C10" s="2" t="s">
        <v>692</v>
      </c>
      <c r="D10" s="5">
        <v>46183</v>
      </c>
      <c r="E10" s="5">
        <v>46187</v>
      </c>
      <c r="F10" s="2" t="s">
        <v>917</v>
      </c>
      <c r="G10" s="2" t="s">
        <v>856</v>
      </c>
      <c r="H10" s="2" t="s">
        <v>52</v>
      </c>
      <c r="I10" s="2" t="s">
        <v>48</v>
      </c>
      <c r="J10" s="2" t="s">
        <v>60</v>
      </c>
      <c r="K10" s="2" t="s">
        <v>60</v>
      </c>
      <c r="L10" s="8" t="s">
        <v>918</v>
      </c>
      <c r="M10" s="8" t="s">
        <v>919</v>
      </c>
      <c r="N10" s="2"/>
      <c r="O10" s="2" t="s">
        <v>871</v>
      </c>
      <c r="P10" s="2" t="s">
        <v>920</v>
      </c>
      <c r="Q10" s="2" t="s">
        <v>63</v>
      </c>
      <c r="R10" s="5"/>
      <c r="S10" s="2" t="s">
        <v>860</v>
      </c>
      <c r="T10" s="2" t="s">
        <v>861</v>
      </c>
      <c r="U10" s="2" t="s">
        <v>862</v>
      </c>
      <c r="V10" s="2" t="s">
        <v>863</v>
      </c>
      <c r="W10" s="2" t="s">
        <v>921</v>
      </c>
      <c r="X10" s="2" t="s">
        <v>922</v>
      </c>
      <c r="Y10" s="2" t="s">
        <v>923</v>
      </c>
    </row>
    <row r="11" spans="1:25" ht="42">
      <c r="A11" s="2" t="s">
        <v>924</v>
      </c>
      <c r="B11" s="2" t="s">
        <v>748</v>
      </c>
      <c r="C11" s="2" t="s">
        <v>749</v>
      </c>
      <c r="D11" s="5">
        <v>46184</v>
      </c>
      <c r="E11" s="5">
        <v>46189</v>
      </c>
      <c r="F11" s="2" t="s">
        <v>925</v>
      </c>
      <c r="G11" s="2" t="s">
        <v>869</v>
      </c>
      <c r="H11" s="2" t="s">
        <v>52</v>
      </c>
      <c r="I11" s="2" t="s">
        <v>48</v>
      </c>
      <c r="J11" s="2" t="s">
        <v>60</v>
      </c>
      <c r="K11" s="2" t="s">
        <v>60</v>
      </c>
      <c r="L11" s="8" t="s">
        <v>926</v>
      </c>
      <c r="M11" s="8" t="s">
        <v>927</v>
      </c>
      <c r="N11" s="2"/>
      <c r="O11" s="2" t="s">
        <v>871</v>
      </c>
      <c r="P11" s="2" t="s">
        <v>928</v>
      </c>
      <c r="Q11" s="2" t="s">
        <v>63</v>
      </c>
      <c r="R11" s="5"/>
      <c r="S11" s="2" t="s">
        <v>860</v>
      </c>
      <c r="T11" s="2" t="s">
        <v>861</v>
      </c>
      <c r="U11" s="2" t="s">
        <v>862</v>
      </c>
      <c r="V11" s="2" t="s">
        <v>863</v>
      </c>
      <c r="W11" s="2" t="s">
        <v>929</v>
      </c>
      <c r="X11" s="2" t="s">
        <v>930</v>
      </c>
      <c r="Y11" s="2" t="s">
        <v>931</v>
      </c>
    </row>
    <row r="12" spans="1:25" ht="27.95">
      <c r="A12" s="2" t="s">
        <v>932</v>
      </c>
      <c r="B12" s="2" t="s">
        <v>805</v>
      </c>
      <c r="C12" s="2" t="s">
        <v>806</v>
      </c>
      <c r="D12" s="5">
        <v>46185</v>
      </c>
      <c r="E12" s="5">
        <v>46191</v>
      </c>
      <c r="F12" s="2" t="s">
        <v>933</v>
      </c>
      <c r="G12" s="2" t="s">
        <v>895</v>
      </c>
      <c r="H12" s="2" t="s">
        <v>52</v>
      </c>
      <c r="I12" s="2" t="s">
        <v>48</v>
      </c>
      <c r="J12" s="2" t="s">
        <v>60</v>
      </c>
      <c r="K12" s="2" t="s">
        <v>60</v>
      </c>
      <c r="L12" s="8" t="s">
        <v>934</v>
      </c>
      <c r="M12" s="8" t="s">
        <v>935</v>
      </c>
      <c r="N12" s="2"/>
      <c r="O12" s="2" t="s">
        <v>871</v>
      </c>
      <c r="P12" s="2" t="s">
        <v>936</v>
      </c>
      <c r="Q12" s="2" t="s">
        <v>63</v>
      </c>
      <c r="R12" s="5"/>
      <c r="S12" s="2" t="s">
        <v>860</v>
      </c>
      <c r="T12" s="2" t="s">
        <v>861</v>
      </c>
      <c r="U12" s="2" t="s">
        <v>862</v>
      </c>
      <c r="V12" s="2" t="s">
        <v>937</v>
      </c>
      <c r="W12" s="2" t="s">
        <v>938</v>
      </c>
      <c r="X12" s="2" t="s">
        <v>939</v>
      </c>
      <c r="Y12" s="2" t="s">
        <v>940</v>
      </c>
    </row>
    <row r="13" spans="1:25" ht="42">
      <c r="A13" s="2" t="s">
        <v>941</v>
      </c>
      <c r="B13" s="2" t="s">
        <v>111</v>
      </c>
      <c r="C13" s="2" t="s">
        <v>112</v>
      </c>
      <c r="D13" s="5">
        <v>46186</v>
      </c>
      <c r="E13" s="5">
        <v>46193</v>
      </c>
      <c r="F13" s="2" t="s">
        <v>942</v>
      </c>
      <c r="G13" s="2" t="s">
        <v>869</v>
      </c>
      <c r="H13" s="2" t="s">
        <v>52</v>
      </c>
      <c r="I13" s="2" t="s">
        <v>48</v>
      </c>
      <c r="J13" s="2" t="s">
        <v>60</v>
      </c>
      <c r="K13" s="2" t="s">
        <v>63</v>
      </c>
      <c r="L13" s="8" t="s">
        <v>54</v>
      </c>
      <c r="M13" s="8" t="s">
        <v>943</v>
      </c>
      <c r="N13" s="2"/>
      <c r="O13" s="2" t="s">
        <v>871</v>
      </c>
      <c r="P13" s="2" t="s">
        <v>944</v>
      </c>
      <c r="Q13" s="2" t="s">
        <v>63</v>
      </c>
      <c r="R13" s="5"/>
      <c r="S13" s="2" t="s">
        <v>860</v>
      </c>
      <c r="T13" s="2" t="s">
        <v>861</v>
      </c>
      <c r="U13" s="2" t="s">
        <v>862</v>
      </c>
      <c r="V13" s="2" t="s">
        <v>863</v>
      </c>
      <c r="W13" s="2" t="s">
        <v>945</v>
      </c>
      <c r="X13" s="2" t="s">
        <v>946</v>
      </c>
      <c r="Y13" s="2" t="s">
        <v>947</v>
      </c>
    </row>
    <row r="14" spans="1:25" ht="27.95">
      <c r="A14" s="2" t="s">
        <v>948</v>
      </c>
      <c r="B14" s="2" t="s">
        <v>213</v>
      </c>
      <c r="C14" s="2" t="s">
        <v>214</v>
      </c>
      <c r="D14" s="5">
        <v>46187</v>
      </c>
      <c r="E14" s="5">
        <v>46195</v>
      </c>
      <c r="F14" s="2" t="s">
        <v>855</v>
      </c>
      <c r="G14" s="2" t="s">
        <v>869</v>
      </c>
      <c r="H14" s="2" t="s">
        <v>52</v>
      </c>
      <c r="I14" s="2" t="s">
        <v>48</v>
      </c>
      <c r="J14" s="2" t="s">
        <v>60</v>
      </c>
      <c r="K14" s="2" t="s">
        <v>60</v>
      </c>
      <c r="L14" s="8" t="s">
        <v>949</v>
      </c>
      <c r="M14" s="8" t="s">
        <v>950</v>
      </c>
      <c r="N14" s="2" t="s">
        <v>79</v>
      </c>
      <c r="O14" s="2" t="s">
        <v>60</v>
      </c>
      <c r="P14" s="2" t="s">
        <v>859</v>
      </c>
      <c r="Q14" s="2" t="s">
        <v>63</v>
      </c>
      <c r="R14" s="5"/>
      <c r="S14" s="2" t="s">
        <v>860</v>
      </c>
      <c r="T14" s="2" t="s">
        <v>861</v>
      </c>
      <c r="U14" s="2" t="s">
        <v>862</v>
      </c>
      <c r="V14" s="2" t="s">
        <v>863</v>
      </c>
      <c r="W14" s="2" t="s">
        <v>951</v>
      </c>
      <c r="X14" s="2" t="s">
        <v>952</v>
      </c>
      <c r="Y14" s="2" t="s">
        <v>953</v>
      </c>
    </row>
    <row r="15" spans="1:25" ht="42">
      <c r="A15" s="2" t="s">
        <v>954</v>
      </c>
      <c r="B15" s="2" t="s">
        <v>292</v>
      </c>
      <c r="C15" s="2" t="s">
        <v>293</v>
      </c>
      <c r="D15" s="5">
        <v>46188</v>
      </c>
      <c r="E15" s="5">
        <v>46197</v>
      </c>
      <c r="F15" s="2" t="s">
        <v>855</v>
      </c>
      <c r="G15" s="2" t="s">
        <v>856</v>
      </c>
      <c r="H15" s="2" t="s">
        <v>52</v>
      </c>
      <c r="I15" s="2" t="s">
        <v>48</v>
      </c>
      <c r="J15" s="2" t="s">
        <v>60</v>
      </c>
      <c r="K15" s="2" t="s">
        <v>60</v>
      </c>
      <c r="L15" s="8" t="s">
        <v>955</v>
      </c>
      <c r="M15" s="8" t="s">
        <v>956</v>
      </c>
      <c r="N15" s="2" t="s">
        <v>185</v>
      </c>
      <c r="O15" s="2" t="s">
        <v>60</v>
      </c>
      <c r="P15" s="2" t="s">
        <v>859</v>
      </c>
      <c r="Q15" s="2" t="s">
        <v>63</v>
      </c>
      <c r="R15" s="5"/>
      <c r="S15" s="2" t="s">
        <v>860</v>
      </c>
      <c r="T15" s="2" t="s">
        <v>861</v>
      </c>
      <c r="U15" s="2" t="s">
        <v>862</v>
      </c>
      <c r="V15" s="2" t="s">
        <v>863</v>
      </c>
      <c r="W15" s="2" t="s">
        <v>864</v>
      </c>
      <c r="X15" s="2" t="s">
        <v>957</v>
      </c>
      <c r="Y15" s="2" t="s">
        <v>958</v>
      </c>
    </row>
    <row r="16" spans="1:25" ht="42">
      <c r="A16" s="2" t="s">
        <v>959</v>
      </c>
      <c r="B16" s="2" t="s">
        <v>361</v>
      </c>
      <c r="C16" s="2" t="s">
        <v>362</v>
      </c>
      <c r="D16" s="5">
        <v>46189</v>
      </c>
      <c r="E16" s="5">
        <v>46199</v>
      </c>
      <c r="F16" s="2" t="s">
        <v>868</v>
      </c>
      <c r="G16" s="2" t="s">
        <v>869</v>
      </c>
      <c r="H16" s="2" t="s">
        <v>52</v>
      </c>
      <c r="I16" s="2" t="s">
        <v>48</v>
      </c>
      <c r="J16" s="2" t="s">
        <v>60</v>
      </c>
      <c r="K16" s="2" t="s">
        <v>60</v>
      </c>
      <c r="L16" s="8"/>
      <c r="M16" s="8" t="s">
        <v>960</v>
      </c>
      <c r="N16" s="2"/>
      <c r="O16" s="2" t="s">
        <v>871</v>
      </c>
      <c r="P16" s="2" t="s">
        <v>859</v>
      </c>
      <c r="Q16" s="2" t="s">
        <v>63</v>
      </c>
      <c r="R16" s="5"/>
      <c r="S16" s="2" t="s">
        <v>860</v>
      </c>
      <c r="T16" s="2" t="s">
        <v>861</v>
      </c>
      <c r="U16" s="2" t="s">
        <v>862</v>
      </c>
      <c r="V16" s="2" t="s">
        <v>863</v>
      </c>
      <c r="W16" s="2" t="s">
        <v>872</v>
      </c>
      <c r="X16" s="2" t="s">
        <v>961</v>
      </c>
      <c r="Y16" s="2" t="s">
        <v>962</v>
      </c>
    </row>
    <row r="17" spans="1:25" ht="27.95">
      <c r="A17" s="2" t="s">
        <v>963</v>
      </c>
      <c r="B17" s="2" t="s">
        <v>424</v>
      </c>
      <c r="C17" s="2" t="s">
        <v>425</v>
      </c>
      <c r="D17" s="5">
        <v>46190</v>
      </c>
      <c r="E17" s="5">
        <v>46201</v>
      </c>
      <c r="F17" s="2" t="s">
        <v>876</v>
      </c>
      <c r="G17" s="2" t="s">
        <v>869</v>
      </c>
      <c r="H17" s="2" t="s">
        <v>52</v>
      </c>
      <c r="I17" s="2" t="s">
        <v>48</v>
      </c>
      <c r="J17" s="2" t="s">
        <v>60</v>
      </c>
      <c r="K17" s="2" t="s">
        <v>63</v>
      </c>
      <c r="L17" s="8" t="s">
        <v>61</v>
      </c>
      <c r="M17" s="8" t="s">
        <v>964</v>
      </c>
      <c r="N17" s="2"/>
      <c r="O17" s="2" t="s">
        <v>871</v>
      </c>
      <c r="P17" s="2" t="s">
        <v>859</v>
      </c>
      <c r="Q17" s="2" t="s">
        <v>63</v>
      </c>
      <c r="R17" s="5"/>
      <c r="S17" s="2" t="s">
        <v>860</v>
      </c>
      <c r="T17" s="2" t="s">
        <v>861</v>
      </c>
      <c r="U17" s="2" t="s">
        <v>862</v>
      </c>
      <c r="V17" s="2" t="s">
        <v>863</v>
      </c>
      <c r="W17" s="2" t="s">
        <v>878</v>
      </c>
      <c r="X17" s="2" t="s">
        <v>965</v>
      </c>
      <c r="Y17" s="2" t="s">
        <v>966</v>
      </c>
    </row>
    <row r="18" spans="1:25" ht="27.95">
      <c r="A18" s="2" t="s">
        <v>967</v>
      </c>
      <c r="B18" s="2" t="s">
        <v>486</v>
      </c>
      <c r="C18" s="2" t="s">
        <v>487</v>
      </c>
      <c r="D18" s="5">
        <v>46191</v>
      </c>
      <c r="E18" s="5">
        <v>46203</v>
      </c>
      <c r="F18" s="2" t="s">
        <v>882</v>
      </c>
      <c r="G18" s="2" t="s">
        <v>869</v>
      </c>
      <c r="H18" s="2" t="s">
        <v>52</v>
      </c>
      <c r="I18" s="2" t="s">
        <v>48</v>
      </c>
      <c r="J18" s="2" t="s">
        <v>60</v>
      </c>
      <c r="K18" s="2" t="s">
        <v>60</v>
      </c>
      <c r="L18" s="8" t="s">
        <v>193</v>
      </c>
      <c r="M18" s="8" t="s">
        <v>179</v>
      </c>
      <c r="N18" s="2"/>
      <c r="O18" s="2" t="s">
        <v>871</v>
      </c>
      <c r="P18" s="2" t="s">
        <v>859</v>
      </c>
      <c r="Q18" s="2" t="s">
        <v>63</v>
      </c>
      <c r="R18" s="5"/>
      <c r="S18" s="2" t="s">
        <v>860</v>
      </c>
      <c r="T18" s="2" t="s">
        <v>861</v>
      </c>
      <c r="U18" s="2" t="s">
        <v>911</v>
      </c>
      <c r="V18" s="2" t="s">
        <v>968</v>
      </c>
      <c r="W18" s="2" t="s">
        <v>969</v>
      </c>
      <c r="X18" s="2" t="s">
        <v>970</v>
      </c>
      <c r="Y18" s="2" t="s">
        <v>971</v>
      </c>
    </row>
    <row r="19" spans="1:25" ht="27.95">
      <c r="A19" s="2" t="s">
        <v>972</v>
      </c>
      <c r="B19" s="2" t="s">
        <v>545</v>
      </c>
      <c r="C19" s="2" t="s">
        <v>546</v>
      </c>
      <c r="D19" s="5">
        <v>46192</v>
      </c>
      <c r="E19" s="5">
        <v>46205</v>
      </c>
      <c r="F19" s="2" t="s">
        <v>888</v>
      </c>
      <c r="G19" s="2" t="s">
        <v>856</v>
      </c>
      <c r="H19" s="2" t="s">
        <v>52</v>
      </c>
      <c r="I19" s="2" t="s">
        <v>48</v>
      </c>
      <c r="J19" s="2" t="s">
        <v>60</v>
      </c>
      <c r="K19" s="2" t="s">
        <v>60</v>
      </c>
      <c r="L19" s="8" t="s">
        <v>64</v>
      </c>
      <c r="M19" s="8" t="s">
        <v>973</v>
      </c>
      <c r="N19" s="2"/>
      <c r="O19" s="2" t="s">
        <v>871</v>
      </c>
      <c r="P19" s="2" t="s">
        <v>890</v>
      </c>
      <c r="Q19" s="2" t="s">
        <v>60</v>
      </c>
      <c r="R19" s="5">
        <v>46222</v>
      </c>
      <c r="S19" s="2" t="s">
        <v>860</v>
      </c>
      <c r="T19" s="2" t="s">
        <v>861</v>
      </c>
      <c r="U19" s="2" t="s">
        <v>974</v>
      </c>
      <c r="V19" s="2" t="s">
        <v>975</v>
      </c>
      <c r="W19" s="2" t="s">
        <v>976</v>
      </c>
      <c r="X19" s="2" t="s">
        <v>977</v>
      </c>
      <c r="Y19" s="2" t="s">
        <v>978</v>
      </c>
    </row>
    <row r="20" spans="1:25" ht="27.95">
      <c r="A20" s="2" t="s">
        <v>979</v>
      </c>
      <c r="B20" s="2" t="s">
        <v>604</v>
      </c>
      <c r="C20" s="2" t="s">
        <v>605</v>
      </c>
      <c r="D20" s="5">
        <v>46193</v>
      </c>
      <c r="E20" s="5">
        <v>46207</v>
      </c>
      <c r="F20" s="2" t="s">
        <v>888</v>
      </c>
      <c r="G20" s="2" t="s">
        <v>895</v>
      </c>
      <c r="H20" s="2" t="s">
        <v>52</v>
      </c>
      <c r="I20" s="2" t="s">
        <v>48</v>
      </c>
      <c r="J20" s="2" t="s">
        <v>60</v>
      </c>
      <c r="K20" s="2" t="s">
        <v>60</v>
      </c>
      <c r="L20" s="8" t="s">
        <v>64</v>
      </c>
      <c r="M20" s="8" t="s">
        <v>896</v>
      </c>
      <c r="N20" s="2"/>
      <c r="O20" s="2" t="s">
        <v>871</v>
      </c>
      <c r="P20" s="2" t="s">
        <v>890</v>
      </c>
      <c r="Q20" s="2" t="s">
        <v>63</v>
      </c>
      <c r="R20" s="5"/>
      <c r="S20" s="2" t="s">
        <v>860</v>
      </c>
      <c r="T20" s="2" t="s">
        <v>861</v>
      </c>
      <c r="U20" s="2" t="s">
        <v>862</v>
      </c>
      <c r="V20" s="2" t="s">
        <v>863</v>
      </c>
      <c r="W20" s="2" t="s">
        <v>891</v>
      </c>
      <c r="X20" s="2" t="s">
        <v>980</v>
      </c>
      <c r="Y20" s="2" t="s">
        <v>981</v>
      </c>
    </row>
    <row r="21" spans="1:25" ht="27.95">
      <c r="A21" s="2" t="s">
        <v>982</v>
      </c>
      <c r="B21" s="2" t="s">
        <v>667</v>
      </c>
      <c r="C21" s="2" t="s">
        <v>668</v>
      </c>
      <c r="D21" s="5">
        <v>46194</v>
      </c>
      <c r="E21" s="5">
        <v>46209</v>
      </c>
      <c r="F21" s="2" t="s">
        <v>900</v>
      </c>
      <c r="G21" s="2" t="s">
        <v>856</v>
      </c>
      <c r="H21" s="2" t="s">
        <v>52</v>
      </c>
      <c r="I21" s="2" t="s">
        <v>48</v>
      </c>
      <c r="J21" s="2" t="s">
        <v>60</v>
      </c>
      <c r="K21" s="2" t="s">
        <v>63</v>
      </c>
      <c r="L21" s="8"/>
      <c r="M21" s="8" t="s">
        <v>983</v>
      </c>
      <c r="N21" s="2"/>
      <c r="O21" s="2" t="s">
        <v>871</v>
      </c>
      <c r="P21" s="2" t="s">
        <v>902</v>
      </c>
      <c r="Q21" s="2" t="s">
        <v>63</v>
      </c>
      <c r="R21" s="5"/>
      <c r="S21" s="2" t="s">
        <v>860</v>
      </c>
      <c r="T21" s="2" t="s">
        <v>861</v>
      </c>
      <c r="U21" s="2" t="s">
        <v>862</v>
      </c>
      <c r="V21" s="2" t="s">
        <v>863</v>
      </c>
      <c r="W21" s="2" t="s">
        <v>903</v>
      </c>
      <c r="X21" s="2" t="s">
        <v>984</v>
      </c>
      <c r="Y21" s="2" t="s">
        <v>985</v>
      </c>
    </row>
    <row r="22" spans="1:25" ht="42">
      <c r="A22" s="2" t="s">
        <v>986</v>
      </c>
      <c r="B22" s="2" t="s">
        <v>724</v>
      </c>
      <c r="C22" s="2" t="s">
        <v>725</v>
      </c>
      <c r="D22" s="5">
        <v>46195</v>
      </c>
      <c r="E22" s="5">
        <v>46190</v>
      </c>
      <c r="F22" s="2" t="s">
        <v>907</v>
      </c>
      <c r="G22" s="2" t="s">
        <v>856</v>
      </c>
      <c r="H22" s="2" t="s">
        <v>52</v>
      </c>
      <c r="I22" s="2" t="s">
        <v>48</v>
      </c>
      <c r="J22" s="2" t="s">
        <v>60</v>
      </c>
      <c r="K22" s="2" t="s">
        <v>60</v>
      </c>
      <c r="L22" s="8" t="s">
        <v>908</v>
      </c>
      <c r="M22" s="8" t="s">
        <v>987</v>
      </c>
      <c r="N22" s="2"/>
      <c r="O22" s="2" t="s">
        <v>871</v>
      </c>
      <c r="P22" s="2" t="s">
        <v>859</v>
      </c>
      <c r="Q22" s="2" t="s">
        <v>60</v>
      </c>
      <c r="R22" s="5">
        <v>46225</v>
      </c>
      <c r="S22" s="2" t="s">
        <v>910</v>
      </c>
      <c r="T22" s="2" t="s">
        <v>861</v>
      </c>
      <c r="U22" s="2" t="s">
        <v>974</v>
      </c>
      <c r="V22" s="2" t="s">
        <v>988</v>
      </c>
      <c r="W22" s="2" t="s">
        <v>913</v>
      </c>
      <c r="X22" s="2" t="s">
        <v>989</v>
      </c>
      <c r="Y22" s="2" t="s">
        <v>990</v>
      </c>
    </row>
    <row r="23" spans="1:25" ht="27.95">
      <c r="A23" s="2" t="s">
        <v>991</v>
      </c>
      <c r="B23" s="2" t="s">
        <v>781</v>
      </c>
      <c r="C23" s="2" t="s">
        <v>782</v>
      </c>
      <c r="D23" s="5">
        <v>46196</v>
      </c>
      <c r="E23" s="5">
        <v>46192</v>
      </c>
      <c r="F23" s="2" t="s">
        <v>917</v>
      </c>
      <c r="G23" s="2" t="s">
        <v>856</v>
      </c>
      <c r="H23" s="2" t="s">
        <v>52</v>
      </c>
      <c r="I23" s="2" t="s">
        <v>48</v>
      </c>
      <c r="J23" s="2" t="s">
        <v>60</v>
      </c>
      <c r="K23" s="2" t="s">
        <v>60</v>
      </c>
      <c r="L23" s="8" t="s">
        <v>918</v>
      </c>
      <c r="M23" s="8" t="s">
        <v>992</v>
      </c>
      <c r="N23" s="2"/>
      <c r="O23" s="2" t="s">
        <v>871</v>
      </c>
      <c r="P23" s="2" t="s">
        <v>920</v>
      </c>
      <c r="Q23" s="2" t="s">
        <v>63</v>
      </c>
      <c r="R23" s="5"/>
      <c r="S23" s="2" t="s">
        <v>860</v>
      </c>
      <c r="T23" s="2" t="s">
        <v>861</v>
      </c>
      <c r="U23" s="2" t="s">
        <v>862</v>
      </c>
      <c r="V23" s="2" t="s">
        <v>863</v>
      </c>
      <c r="W23" s="2" t="s">
        <v>921</v>
      </c>
      <c r="X23" s="2" t="s">
        <v>993</v>
      </c>
      <c r="Y23" s="2" t="s">
        <v>994</v>
      </c>
    </row>
    <row r="24" spans="1:25" ht="42">
      <c r="A24" s="2" t="s">
        <v>995</v>
      </c>
      <c r="B24" s="2" t="s">
        <v>69</v>
      </c>
      <c r="C24" s="2" t="s">
        <v>70</v>
      </c>
      <c r="D24" s="5">
        <v>46197</v>
      </c>
      <c r="E24" s="5">
        <v>46194</v>
      </c>
      <c r="F24" s="2" t="s">
        <v>925</v>
      </c>
      <c r="G24" s="2" t="s">
        <v>869</v>
      </c>
      <c r="H24" s="2" t="s">
        <v>52</v>
      </c>
      <c r="I24" s="2" t="s">
        <v>48</v>
      </c>
      <c r="J24" s="2" t="s">
        <v>60</v>
      </c>
      <c r="K24" s="2" t="s">
        <v>60</v>
      </c>
      <c r="L24" s="8" t="s">
        <v>996</v>
      </c>
      <c r="M24" s="8" t="s">
        <v>997</v>
      </c>
      <c r="N24" s="2"/>
      <c r="O24" s="2" t="s">
        <v>871</v>
      </c>
      <c r="P24" s="2" t="s">
        <v>928</v>
      </c>
      <c r="Q24" s="2" t="s">
        <v>63</v>
      </c>
      <c r="R24" s="5"/>
      <c r="S24" s="2" t="s">
        <v>860</v>
      </c>
      <c r="T24" s="2" t="s">
        <v>861</v>
      </c>
      <c r="U24" s="2" t="s">
        <v>862</v>
      </c>
      <c r="V24" s="2" t="s">
        <v>863</v>
      </c>
      <c r="W24" s="2" t="s">
        <v>929</v>
      </c>
      <c r="X24" s="2" t="s">
        <v>998</v>
      </c>
      <c r="Y24" s="2" t="s">
        <v>999</v>
      </c>
    </row>
    <row r="25" spans="1:25" ht="27.95">
      <c r="A25" s="2" t="s">
        <v>1000</v>
      </c>
      <c r="B25" s="2" t="s">
        <v>174</v>
      </c>
      <c r="C25" s="2" t="s">
        <v>175</v>
      </c>
      <c r="D25" s="5">
        <v>46198</v>
      </c>
      <c r="E25" s="5">
        <v>46196</v>
      </c>
      <c r="F25" s="2" t="s">
        <v>933</v>
      </c>
      <c r="G25" s="2" t="s">
        <v>895</v>
      </c>
      <c r="H25" s="2" t="s">
        <v>52</v>
      </c>
      <c r="I25" s="2" t="s">
        <v>48</v>
      </c>
      <c r="J25" s="2" t="s">
        <v>60</v>
      </c>
      <c r="K25" s="2" t="s">
        <v>63</v>
      </c>
      <c r="L25" s="8" t="s">
        <v>934</v>
      </c>
      <c r="M25" s="8" t="s">
        <v>935</v>
      </c>
      <c r="N25" s="2"/>
      <c r="O25" s="2" t="s">
        <v>871</v>
      </c>
      <c r="P25" s="2" t="s">
        <v>936</v>
      </c>
      <c r="Q25" s="2" t="s">
        <v>63</v>
      </c>
      <c r="R25" s="5"/>
      <c r="S25" s="2" t="s">
        <v>860</v>
      </c>
      <c r="T25" s="2" t="s">
        <v>861</v>
      </c>
      <c r="U25" s="2" t="s">
        <v>862</v>
      </c>
      <c r="V25" s="2" t="s">
        <v>937</v>
      </c>
      <c r="W25" s="2" t="s">
        <v>938</v>
      </c>
      <c r="X25" s="2" t="s">
        <v>1001</v>
      </c>
      <c r="Y25" s="2" t="s">
        <v>1002</v>
      </c>
    </row>
    <row r="26" spans="1:25" ht="42">
      <c r="A26" s="2" t="s">
        <v>1003</v>
      </c>
      <c r="B26" s="2" t="s">
        <v>260</v>
      </c>
      <c r="C26" s="2" t="s">
        <v>261</v>
      </c>
      <c r="D26" s="5">
        <v>46199</v>
      </c>
      <c r="E26" s="5">
        <v>46198</v>
      </c>
      <c r="F26" s="2" t="s">
        <v>942</v>
      </c>
      <c r="G26" s="2" t="s">
        <v>869</v>
      </c>
      <c r="H26" s="2" t="s">
        <v>52</v>
      </c>
      <c r="I26" s="2" t="s">
        <v>48</v>
      </c>
      <c r="J26" s="2" t="s">
        <v>60</v>
      </c>
      <c r="K26" s="2" t="s">
        <v>60</v>
      </c>
      <c r="L26" s="8" t="s">
        <v>54</v>
      </c>
      <c r="M26" s="8" t="s">
        <v>943</v>
      </c>
      <c r="N26" s="2"/>
      <c r="O26" s="2" t="s">
        <v>871</v>
      </c>
      <c r="P26" s="2" t="s">
        <v>944</v>
      </c>
      <c r="Q26" s="2" t="s">
        <v>63</v>
      </c>
      <c r="R26" s="5"/>
      <c r="S26" s="2" t="s">
        <v>860</v>
      </c>
      <c r="T26" s="2" t="s">
        <v>861</v>
      </c>
      <c r="U26" s="2" t="s">
        <v>862</v>
      </c>
      <c r="V26" s="2" t="s">
        <v>863</v>
      </c>
      <c r="W26" s="2" t="s">
        <v>945</v>
      </c>
      <c r="X26" s="2" t="s">
        <v>1004</v>
      </c>
      <c r="Y26" s="2" t="s">
        <v>1005</v>
      </c>
    </row>
    <row r="27" spans="1:25" ht="27.95">
      <c r="A27" s="10" t="s">
        <v>1006</v>
      </c>
      <c r="B27" s="10" t="s">
        <v>333</v>
      </c>
      <c r="C27" s="10" t="s">
        <v>334</v>
      </c>
      <c r="D27" s="11">
        <v>46200</v>
      </c>
      <c r="E27" s="11">
        <v>46200</v>
      </c>
      <c r="F27" s="10" t="s">
        <v>855</v>
      </c>
      <c r="G27" s="10" t="s">
        <v>869</v>
      </c>
      <c r="H27" s="10" t="s">
        <v>52</v>
      </c>
      <c r="I27" s="10" t="s">
        <v>48</v>
      </c>
      <c r="J27" s="10" t="s">
        <v>60</v>
      </c>
      <c r="K27" s="10" t="s">
        <v>60</v>
      </c>
      <c r="L27" s="10" t="s">
        <v>1007</v>
      </c>
      <c r="M27" s="10" t="s">
        <v>1008</v>
      </c>
      <c r="N27" s="10" t="s">
        <v>94</v>
      </c>
      <c r="O27" s="10" t="s">
        <v>60</v>
      </c>
      <c r="P27" s="10" t="s">
        <v>859</v>
      </c>
      <c r="Q27" s="10" t="s">
        <v>63</v>
      </c>
      <c r="R27" s="11"/>
      <c r="S27" s="10" t="s">
        <v>860</v>
      </c>
      <c r="T27" s="10" t="s">
        <v>861</v>
      </c>
      <c r="U27" s="10" t="s">
        <v>862</v>
      </c>
      <c r="V27" s="10" t="s">
        <v>863</v>
      </c>
      <c r="W27" s="10" t="s">
        <v>951</v>
      </c>
      <c r="X27" s="10" t="s">
        <v>1009</v>
      </c>
      <c r="Y27" s="10" t="s">
        <v>1010</v>
      </c>
    </row>
    <row r="28" spans="1:25" ht="42">
      <c r="A28" s="10" t="s">
        <v>1011</v>
      </c>
      <c r="B28" s="10" t="s">
        <v>396</v>
      </c>
      <c r="C28" s="10" t="s">
        <v>397</v>
      </c>
      <c r="D28" s="11">
        <v>46201</v>
      </c>
      <c r="E28" s="11">
        <v>46202</v>
      </c>
      <c r="F28" s="10" t="s">
        <v>855</v>
      </c>
      <c r="G28" s="10" t="s">
        <v>856</v>
      </c>
      <c r="H28" s="10" t="s">
        <v>52</v>
      </c>
      <c r="I28" s="10" t="s">
        <v>48</v>
      </c>
      <c r="J28" s="10" t="s">
        <v>60</v>
      </c>
      <c r="K28" s="10" t="s">
        <v>60</v>
      </c>
      <c r="L28" s="10" t="s">
        <v>1012</v>
      </c>
      <c r="M28" s="10" t="s">
        <v>1013</v>
      </c>
      <c r="N28" s="10" t="s">
        <v>58</v>
      </c>
      <c r="O28" s="10" t="s">
        <v>63</v>
      </c>
      <c r="P28" s="10" t="s">
        <v>859</v>
      </c>
      <c r="Q28" s="10" t="s">
        <v>63</v>
      </c>
      <c r="R28" s="11"/>
      <c r="S28" s="10" t="s">
        <v>860</v>
      </c>
      <c r="T28" s="10" t="s">
        <v>861</v>
      </c>
      <c r="U28" s="10" t="s">
        <v>1014</v>
      </c>
      <c r="V28" s="10" t="s">
        <v>1015</v>
      </c>
      <c r="W28" s="10" t="s">
        <v>1016</v>
      </c>
      <c r="X28" s="10" t="s">
        <v>1017</v>
      </c>
      <c r="Y28" s="10" t="s">
        <v>1018</v>
      </c>
    </row>
    <row r="29" spans="1:25" ht="42">
      <c r="A29" s="10" t="s">
        <v>1019</v>
      </c>
      <c r="B29" s="10" t="s">
        <v>461</v>
      </c>
      <c r="C29" s="10" t="s">
        <v>462</v>
      </c>
      <c r="D29" s="11">
        <v>46202</v>
      </c>
      <c r="E29" s="11">
        <v>46204</v>
      </c>
      <c r="F29" s="10" t="s">
        <v>868</v>
      </c>
      <c r="G29" s="10" t="s">
        <v>869</v>
      </c>
      <c r="H29" s="10" t="s">
        <v>52</v>
      </c>
      <c r="I29" s="10" t="s">
        <v>48</v>
      </c>
      <c r="J29" s="10" t="s">
        <v>60</v>
      </c>
      <c r="K29" s="10" t="s">
        <v>63</v>
      </c>
      <c r="L29" s="10"/>
      <c r="M29" s="10" t="s">
        <v>1020</v>
      </c>
      <c r="N29" s="10"/>
      <c r="O29" s="10" t="s">
        <v>871</v>
      </c>
      <c r="P29" s="10" t="s">
        <v>859</v>
      </c>
      <c r="Q29" s="10" t="s">
        <v>63</v>
      </c>
      <c r="R29" s="11"/>
      <c r="S29" s="10" t="s">
        <v>860</v>
      </c>
      <c r="T29" s="10" t="s">
        <v>861</v>
      </c>
      <c r="U29" s="10" t="s">
        <v>862</v>
      </c>
      <c r="V29" s="10" t="s">
        <v>863</v>
      </c>
      <c r="W29" s="10" t="s">
        <v>872</v>
      </c>
      <c r="X29" s="10" t="s">
        <v>1021</v>
      </c>
      <c r="Y29" s="10" t="s">
        <v>1022</v>
      </c>
    </row>
    <row r="30" spans="1:25" ht="27.95">
      <c r="A30" s="2" t="s">
        <v>1023</v>
      </c>
      <c r="B30" s="2" t="s">
        <v>520</v>
      </c>
      <c r="C30" s="2" t="s">
        <v>521</v>
      </c>
      <c r="D30" s="5">
        <v>46203</v>
      </c>
      <c r="E30" s="5">
        <v>46206</v>
      </c>
      <c r="F30" s="2" t="s">
        <v>876</v>
      </c>
      <c r="G30" s="2" t="s">
        <v>869</v>
      </c>
      <c r="H30" s="2" t="s">
        <v>52</v>
      </c>
      <c r="I30" s="2" t="s">
        <v>48</v>
      </c>
      <c r="J30" s="2" t="s">
        <v>60</v>
      </c>
      <c r="K30" s="2" t="s">
        <v>60</v>
      </c>
      <c r="L30" s="8" t="s">
        <v>61</v>
      </c>
      <c r="M30" s="8" t="s">
        <v>1024</v>
      </c>
      <c r="N30" s="2"/>
      <c r="O30" s="2" t="s">
        <v>871</v>
      </c>
      <c r="P30" s="2" t="s">
        <v>859</v>
      </c>
      <c r="Q30" s="2" t="s">
        <v>63</v>
      </c>
      <c r="R30" s="5"/>
      <c r="S30" s="2" t="s">
        <v>860</v>
      </c>
      <c r="T30" s="2" t="s">
        <v>861</v>
      </c>
      <c r="U30" s="2" t="s">
        <v>862</v>
      </c>
      <c r="V30" s="2" t="s">
        <v>863</v>
      </c>
      <c r="W30" s="2" t="s">
        <v>878</v>
      </c>
      <c r="X30" s="2" t="s">
        <v>1025</v>
      </c>
      <c r="Y30" s="2" t="s">
        <v>1026</v>
      </c>
    </row>
    <row r="31" spans="1:25" ht="42">
      <c r="A31" s="2" t="s">
        <v>1027</v>
      </c>
      <c r="B31" s="2" t="s">
        <v>579</v>
      </c>
      <c r="C31" s="2" t="s">
        <v>580</v>
      </c>
      <c r="D31" s="5">
        <v>46204</v>
      </c>
      <c r="E31" s="5">
        <v>46208</v>
      </c>
      <c r="F31" s="2" t="s">
        <v>882</v>
      </c>
      <c r="G31" s="2" t="s">
        <v>869</v>
      </c>
      <c r="H31" s="2" t="s">
        <v>52</v>
      </c>
      <c r="I31" s="2" t="s">
        <v>48</v>
      </c>
      <c r="J31" s="2" t="s">
        <v>60</v>
      </c>
      <c r="K31" s="2" t="s">
        <v>60</v>
      </c>
      <c r="L31" s="8" t="s">
        <v>49</v>
      </c>
      <c r="M31" s="8" t="s">
        <v>74</v>
      </c>
      <c r="N31" s="2"/>
      <c r="O31" s="2" t="s">
        <v>871</v>
      </c>
      <c r="P31" s="2" t="s">
        <v>883</v>
      </c>
      <c r="Q31" s="2" t="s">
        <v>63</v>
      </c>
      <c r="R31" s="5"/>
      <c r="S31" s="2" t="s">
        <v>860</v>
      </c>
      <c r="T31" s="2" t="s">
        <v>861</v>
      </c>
      <c r="U31" s="2" t="s">
        <v>862</v>
      </c>
      <c r="V31" s="2" t="s">
        <v>863</v>
      </c>
      <c r="W31" s="2" t="s">
        <v>884</v>
      </c>
      <c r="X31" s="2" t="s">
        <v>1028</v>
      </c>
      <c r="Y31" s="2" t="s">
        <v>1029</v>
      </c>
    </row>
    <row r="32" spans="1:25" ht="27.95">
      <c r="A32" s="2" t="s">
        <v>1030</v>
      </c>
      <c r="B32" s="2" t="s">
        <v>639</v>
      </c>
      <c r="C32" s="2" t="s">
        <v>640</v>
      </c>
      <c r="D32" s="5">
        <v>46205</v>
      </c>
      <c r="E32" s="5">
        <v>46210</v>
      </c>
      <c r="F32" s="2" t="s">
        <v>888</v>
      </c>
      <c r="G32" s="2" t="s">
        <v>856</v>
      </c>
      <c r="H32" s="2" t="s">
        <v>52</v>
      </c>
      <c r="I32" s="2" t="s">
        <v>48</v>
      </c>
      <c r="J32" s="2" t="s">
        <v>60</v>
      </c>
      <c r="K32" s="2" t="s">
        <v>60</v>
      </c>
      <c r="L32" s="8" t="s">
        <v>64</v>
      </c>
      <c r="M32" s="8" t="s">
        <v>1031</v>
      </c>
      <c r="N32" s="2"/>
      <c r="O32" s="2" t="s">
        <v>871</v>
      </c>
      <c r="P32" s="2" t="s">
        <v>890</v>
      </c>
      <c r="Q32" s="2" t="s">
        <v>63</v>
      </c>
      <c r="R32" s="5"/>
      <c r="S32" s="2" t="s">
        <v>860</v>
      </c>
      <c r="T32" s="2" t="s">
        <v>861</v>
      </c>
      <c r="U32" s="2" t="s">
        <v>862</v>
      </c>
      <c r="V32" s="2" t="s">
        <v>863</v>
      </c>
      <c r="W32" s="2" t="s">
        <v>891</v>
      </c>
      <c r="X32" s="2" t="s">
        <v>1032</v>
      </c>
      <c r="Y32" s="2" t="s">
        <v>1033</v>
      </c>
    </row>
    <row r="33" spans="1:25" ht="27.95">
      <c r="A33" s="2" t="s">
        <v>1034</v>
      </c>
      <c r="B33" s="2" t="s">
        <v>699</v>
      </c>
      <c r="C33" s="2" t="s">
        <v>700</v>
      </c>
      <c r="D33" s="5">
        <v>46206</v>
      </c>
      <c r="E33" s="5">
        <v>46212</v>
      </c>
      <c r="F33" s="2" t="s">
        <v>888</v>
      </c>
      <c r="G33" s="2" t="s">
        <v>895</v>
      </c>
      <c r="H33" s="2" t="s">
        <v>52</v>
      </c>
      <c r="I33" s="2" t="s">
        <v>48</v>
      </c>
      <c r="J33" s="2" t="s">
        <v>60</v>
      </c>
      <c r="K33" s="2" t="s">
        <v>63</v>
      </c>
      <c r="L33" s="8" t="s">
        <v>64</v>
      </c>
      <c r="M33" s="8" t="s">
        <v>896</v>
      </c>
      <c r="N33" s="2"/>
      <c r="O33" s="2" t="s">
        <v>871</v>
      </c>
      <c r="P33" s="2" t="s">
        <v>890</v>
      </c>
      <c r="Q33" s="2" t="s">
        <v>63</v>
      </c>
      <c r="R33" s="5"/>
      <c r="S33" s="2" t="s">
        <v>860</v>
      </c>
      <c r="T33" s="2" t="s">
        <v>861</v>
      </c>
      <c r="U33" s="2" t="s">
        <v>862</v>
      </c>
      <c r="V33" s="2" t="s">
        <v>863</v>
      </c>
      <c r="W33" s="2" t="s">
        <v>891</v>
      </c>
      <c r="X33" s="2" t="s">
        <v>1035</v>
      </c>
      <c r="Y33" s="2" t="s">
        <v>1036</v>
      </c>
    </row>
    <row r="34" spans="1:25" ht="27.95">
      <c r="A34" s="2" t="s">
        <v>1037</v>
      </c>
      <c r="B34" s="2" t="s">
        <v>756</v>
      </c>
      <c r="C34" s="2" t="s">
        <v>757</v>
      </c>
      <c r="D34" s="5">
        <v>46207</v>
      </c>
      <c r="E34" s="5">
        <v>46214</v>
      </c>
      <c r="F34" s="2" t="s">
        <v>900</v>
      </c>
      <c r="G34" s="2" t="s">
        <v>856</v>
      </c>
      <c r="H34" s="2" t="s">
        <v>52</v>
      </c>
      <c r="I34" s="2" t="s">
        <v>48</v>
      </c>
      <c r="J34" s="2" t="s">
        <v>60</v>
      </c>
      <c r="K34" s="2" t="s">
        <v>60</v>
      </c>
      <c r="L34" s="8"/>
      <c r="M34" s="8" t="s">
        <v>1038</v>
      </c>
      <c r="N34" s="2"/>
      <c r="O34" s="2" t="s">
        <v>871</v>
      </c>
      <c r="P34" s="2" t="s">
        <v>902</v>
      </c>
      <c r="Q34" s="2" t="s">
        <v>63</v>
      </c>
      <c r="R34" s="5"/>
      <c r="S34" s="2" t="s">
        <v>860</v>
      </c>
      <c r="T34" s="2" t="s">
        <v>861</v>
      </c>
      <c r="U34" s="2" t="s">
        <v>862</v>
      </c>
      <c r="V34" s="2" t="s">
        <v>863</v>
      </c>
      <c r="W34" s="2" t="s">
        <v>903</v>
      </c>
      <c r="X34" s="2" t="s">
        <v>1039</v>
      </c>
      <c r="Y34" s="2" t="s">
        <v>1040</v>
      </c>
    </row>
    <row r="35" spans="1:25" ht="42">
      <c r="A35" s="2" t="s">
        <v>1041</v>
      </c>
      <c r="B35" s="2" t="s">
        <v>814</v>
      </c>
      <c r="C35" s="2" t="s">
        <v>815</v>
      </c>
      <c r="D35" s="5">
        <v>46208</v>
      </c>
      <c r="E35" s="5">
        <v>46216</v>
      </c>
      <c r="F35" s="2" t="s">
        <v>907</v>
      </c>
      <c r="G35" s="2" t="s">
        <v>856</v>
      </c>
      <c r="H35" s="2" t="s">
        <v>52</v>
      </c>
      <c r="I35" s="2" t="s">
        <v>48</v>
      </c>
      <c r="J35" s="2" t="s">
        <v>60</v>
      </c>
      <c r="K35" s="2" t="s">
        <v>60</v>
      </c>
      <c r="L35" s="8" t="s">
        <v>908</v>
      </c>
      <c r="M35" s="8" t="s">
        <v>909</v>
      </c>
      <c r="N35" s="2"/>
      <c r="O35" s="2" t="s">
        <v>871</v>
      </c>
      <c r="P35" s="2" t="s">
        <v>859</v>
      </c>
      <c r="Q35" s="2" t="s">
        <v>63</v>
      </c>
      <c r="R35" s="5"/>
      <c r="S35" s="2" t="s">
        <v>910</v>
      </c>
      <c r="T35" s="2" t="s">
        <v>861</v>
      </c>
      <c r="U35" s="2" t="s">
        <v>911</v>
      </c>
      <c r="V35" s="2" t="s">
        <v>912</v>
      </c>
      <c r="W35" s="2" t="s">
        <v>913</v>
      </c>
      <c r="X35" s="2" t="s">
        <v>1042</v>
      </c>
      <c r="Y35" s="2" t="s">
        <v>1043</v>
      </c>
    </row>
    <row r="36" spans="1:25" ht="27.95">
      <c r="A36" s="2" t="s">
        <v>1044</v>
      </c>
      <c r="B36" s="2" t="s">
        <v>130</v>
      </c>
      <c r="C36" s="2" t="s">
        <v>131</v>
      </c>
      <c r="D36" s="5">
        <v>46209</v>
      </c>
      <c r="E36" s="5">
        <v>46218</v>
      </c>
      <c r="F36" s="2" t="s">
        <v>917</v>
      </c>
      <c r="G36" s="2" t="s">
        <v>856</v>
      </c>
      <c r="H36" s="2" t="s">
        <v>52</v>
      </c>
      <c r="I36" s="2" t="s">
        <v>48</v>
      </c>
      <c r="J36" s="2" t="s">
        <v>60</v>
      </c>
      <c r="K36" s="2" t="s">
        <v>60</v>
      </c>
      <c r="L36" s="8" t="s">
        <v>918</v>
      </c>
      <c r="M36" s="8" t="s">
        <v>1045</v>
      </c>
      <c r="N36" s="2"/>
      <c r="O36" s="2" t="s">
        <v>871</v>
      </c>
      <c r="P36" s="2" t="s">
        <v>920</v>
      </c>
      <c r="Q36" s="2" t="s">
        <v>63</v>
      </c>
      <c r="R36" s="5"/>
      <c r="S36" s="2" t="s">
        <v>860</v>
      </c>
      <c r="T36" s="2" t="s">
        <v>861</v>
      </c>
      <c r="U36" s="2" t="s">
        <v>862</v>
      </c>
      <c r="V36" s="2" t="s">
        <v>863</v>
      </c>
      <c r="W36" s="2" t="s">
        <v>921</v>
      </c>
      <c r="X36" s="2" t="s">
        <v>1046</v>
      </c>
      <c r="Y36" s="2" t="s">
        <v>1047</v>
      </c>
    </row>
    <row r="37" spans="1:25" ht="27.95">
      <c r="A37" s="2" t="s">
        <v>1048</v>
      </c>
      <c r="B37" s="2" t="s">
        <v>225</v>
      </c>
      <c r="C37" s="2" t="s">
        <v>226</v>
      </c>
      <c r="D37" s="5">
        <v>46210</v>
      </c>
      <c r="E37" s="5">
        <v>46220</v>
      </c>
      <c r="F37" s="2" t="s">
        <v>925</v>
      </c>
      <c r="G37" s="2" t="s">
        <v>869</v>
      </c>
      <c r="H37" s="2" t="s">
        <v>52</v>
      </c>
      <c r="I37" s="2" t="s">
        <v>48</v>
      </c>
      <c r="J37" s="2" t="s">
        <v>60</v>
      </c>
      <c r="K37" s="2" t="s">
        <v>63</v>
      </c>
      <c r="L37" s="8" t="s">
        <v>1049</v>
      </c>
      <c r="M37" s="8" t="s">
        <v>1050</v>
      </c>
      <c r="N37" s="2"/>
      <c r="O37" s="2" t="s">
        <v>871</v>
      </c>
      <c r="P37" s="2" t="s">
        <v>928</v>
      </c>
      <c r="Q37" s="2" t="s">
        <v>60</v>
      </c>
      <c r="R37" s="5">
        <v>46240</v>
      </c>
      <c r="S37" s="2" t="s">
        <v>860</v>
      </c>
      <c r="T37" s="2" t="s">
        <v>861</v>
      </c>
      <c r="U37" s="2" t="s">
        <v>974</v>
      </c>
      <c r="V37" s="2" t="s">
        <v>1051</v>
      </c>
      <c r="W37" s="2" t="s">
        <v>1052</v>
      </c>
      <c r="X37" s="2" t="s">
        <v>1053</v>
      </c>
      <c r="Y37" s="2" t="s">
        <v>1054</v>
      </c>
    </row>
    <row r="38" spans="1:25" ht="27.95">
      <c r="A38" s="2" t="s">
        <v>1055</v>
      </c>
      <c r="B38" s="2" t="s">
        <v>302</v>
      </c>
      <c r="C38" s="2" t="s">
        <v>303</v>
      </c>
      <c r="D38" s="5">
        <v>46211</v>
      </c>
      <c r="E38" s="5">
        <v>46222</v>
      </c>
      <c r="F38" s="2" t="s">
        <v>933</v>
      </c>
      <c r="G38" s="2" t="s">
        <v>895</v>
      </c>
      <c r="H38" s="2" t="s">
        <v>52</v>
      </c>
      <c r="I38" s="2" t="s">
        <v>48</v>
      </c>
      <c r="J38" s="2" t="s">
        <v>60</v>
      </c>
      <c r="K38" s="2" t="s">
        <v>60</v>
      </c>
      <c r="L38" s="8" t="s">
        <v>934</v>
      </c>
      <c r="M38" s="8" t="s">
        <v>935</v>
      </c>
      <c r="N38" s="2"/>
      <c r="O38" s="2" t="s">
        <v>871</v>
      </c>
      <c r="P38" s="2" t="s">
        <v>936</v>
      </c>
      <c r="Q38" s="2" t="s">
        <v>63</v>
      </c>
      <c r="R38" s="5"/>
      <c r="S38" s="2" t="s">
        <v>860</v>
      </c>
      <c r="T38" s="2" t="s">
        <v>861</v>
      </c>
      <c r="U38" s="2" t="s">
        <v>862</v>
      </c>
      <c r="V38" s="2" t="s">
        <v>937</v>
      </c>
      <c r="W38" s="2" t="s">
        <v>938</v>
      </c>
      <c r="X38" s="2" t="s">
        <v>1056</v>
      </c>
      <c r="Y38" s="2" t="s">
        <v>1057</v>
      </c>
    </row>
    <row r="39" spans="1:25" ht="27.95">
      <c r="A39" s="2" t="s">
        <v>1058</v>
      </c>
      <c r="B39" s="2" t="s">
        <v>369</v>
      </c>
      <c r="C39" s="2" t="s">
        <v>370</v>
      </c>
      <c r="D39" s="5">
        <v>46212</v>
      </c>
      <c r="E39" s="5">
        <v>46224</v>
      </c>
      <c r="F39" s="2" t="s">
        <v>942</v>
      </c>
      <c r="G39" s="2" t="s">
        <v>869</v>
      </c>
      <c r="H39" s="2" t="s">
        <v>52</v>
      </c>
      <c r="I39" s="2" t="s">
        <v>48</v>
      </c>
      <c r="J39" s="2" t="s">
        <v>60</v>
      </c>
      <c r="K39" s="2" t="s">
        <v>60</v>
      </c>
      <c r="L39" s="8" t="s">
        <v>90</v>
      </c>
      <c r="M39" s="8" t="s">
        <v>54</v>
      </c>
      <c r="N39" s="2"/>
      <c r="O39" s="2" t="s">
        <v>871</v>
      </c>
      <c r="P39" s="2" t="s">
        <v>944</v>
      </c>
      <c r="Q39" s="2" t="s">
        <v>60</v>
      </c>
      <c r="R39" s="5">
        <v>46242</v>
      </c>
      <c r="S39" s="2" t="s">
        <v>860</v>
      </c>
      <c r="T39" s="2" t="s">
        <v>861</v>
      </c>
      <c r="U39" s="2" t="s">
        <v>974</v>
      </c>
      <c r="V39" s="2" t="s">
        <v>1059</v>
      </c>
      <c r="W39" s="2" t="s">
        <v>1060</v>
      </c>
      <c r="X39" s="2" t="s">
        <v>1061</v>
      </c>
      <c r="Y39" s="2" t="s">
        <v>1062</v>
      </c>
    </row>
    <row r="40" spans="1:25" ht="27.95">
      <c r="A40" s="10" t="s">
        <v>1063</v>
      </c>
      <c r="B40" s="10" t="s">
        <v>433</v>
      </c>
      <c r="C40" s="10" t="s">
        <v>434</v>
      </c>
      <c r="D40" s="11">
        <v>46213</v>
      </c>
      <c r="E40" s="11">
        <v>46226</v>
      </c>
      <c r="F40" s="10" t="s">
        <v>855</v>
      </c>
      <c r="G40" s="10" t="s">
        <v>869</v>
      </c>
      <c r="H40" s="10" t="s">
        <v>52</v>
      </c>
      <c r="I40" s="10" t="s">
        <v>48</v>
      </c>
      <c r="J40" s="10" t="s">
        <v>60</v>
      </c>
      <c r="K40" s="10" t="s">
        <v>60</v>
      </c>
      <c r="L40" s="10" t="s">
        <v>1064</v>
      </c>
      <c r="M40" s="10" t="s">
        <v>1065</v>
      </c>
      <c r="N40" s="10" t="s">
        <v>108</v>
      </c>
      <c r="O40" s="10" t="s">
        <v>60</v>
      </c>
      <c r="P40" s="10" t="s">
        <v>859</v>
      </c>
      <c r="Q40" s="10" t="s">
        <v>63</v>
      </c>
      <c r="R40" s="11"/>
      <c r="S40" s="10" t="s">
        <v>860</v>
      </c>
      <c r="T40" s="10" t="s">
        <v>861</v>
      </c>
      <c r="U40" s="10" t="s">
        <v>862</v>
      </c>
      <c r="V40" s="10" t="s">
        <v>863</v>
      </c>
      <c r="W40" s="10" t="s">
        <v>951</v>
      </c>
      <c r="X40" s="10" t="s">
        <v>1066</v>
      </c>
      <c r="Y40" s="10" t="s">
        <v>1067</v>
      </c>
    </row>
    <row r="41" spans="1:25" ht="42">
      <c r="A41" s="10" t="s">
        <v>1068</v>
      </c>
      <c r="B41" s="10" t="s">
        <v>494</v>
      </c>
      <c r="C41" s="10" t="s">
        <v>495</v>
      </c>
      <c r="D41" s="11">
        <v>46214</v>
      </c>
      <c r="E41" s="11">
        <v>46228</v>
      </c>
      <c r="F41" s="10" t="s">
        <v>855</v>
      </c>
      <c r="G41" s="10" t="s">
        <v>856</v>
      </c>
      <c r="H41" s="10" t="s">
        <v>52</v>
      </c>
      <c r="I41" s="10" t="s">
        <v>48</v>
      </c>
      <c r="J41" s="10" t="s">
        <v>60</v>
      </c>
      <c r="K41" s="10" t="s">
        <v>63</v>
      </c>
      <c r="L41" s="10" t="s">
        <v>1069</v>
      </c>
      <c r="M41" s="10" t="s">
        <v>1070</v>
      </c>
      <c r="N41" s="10" t="s">
        <v>58</v>
      </c>
      <c r="O41" s="10" t="s">
        <v>60</v>
      </c>
      <c r="P41" s="10" t="s">
        <v>859</v>
      </c>
      <c r="Q41" s="10" t="s">
        <v>63</v>
      </c>
      <c r="R41" s="11"/>
      <c r="S41" s="10" t="s">
        <v>860</v>
      </c>
      <c r="T41" s="10" t="s">
        <v>861</v>
      </c>
      <c r="U41" s="10" t="s">
        <v>862</v>
      </c>
      <c r="V41" s="10" t="s">
        <v>863</v>
      </c>
      <c r="W41" s="10" t="s">
        <v>864</v>
      </c>
      <c r="X41" s="10" t="s">
        <v>1071</v>
      </c>
      <c r="Y41" s="10" t="s">
        <v>1072</v>
      </c>
    </row>
    <row r="42" spans="1:25" ht="42">
      <c r="A42" s="10" t="s">
        <v>1073</v>
      </c>
      <c r="B42" s="10" t="s">
        <v>553</v>
      </c>
      <c r="C42" s="10" t="s">
        <v>554</v>
      </c>
      <c r="D42" s="11">
        <v>46215</v>
      </c>
      <c r="E42" s="11">
        <v>46230</v>
      </c>
      <c r="F42" s="10" t="s">
        <v>868</v>
      </c>
      <c r="G42" s="10" t="s">
        <v>869</v>
      </c>
      <c r="H42" s="10" t="s">
        <v>52</v>
      </c>
      <c r="I42" s="10" t="s">
        <v>48</v>
      </c>
      <c r="J42" s="10" t="s">
        <v>60</v>
      </c>
      <c r="K42" s="10" t="s">
        <v>60</v>
      </c>
      <c r="L42" s="10" t="s">
        <v>561</v>
      </c>
      <c r="M42" s="10" t="s">
        <v>1074</v>
      </c>
      <c r="N42" s="10"/>
      <c r="O42" s="10" t="s">
        <v>871</v>
      </c>
      <c r="P42" s="10" t="s">
        <v>859</v>
      </c>
      <c r="Q42" s="10" t="s">
        <v>63</v>
      </c>
      <c r="R42" s="11"/>
      <c r="S42" s="10" t="s">
        <v>860</v>
      </c>
      <c r="T42" s="10" t="s">
        <v>861</v>
      </c>
      <c r="U42" s="10" t="s">
        <v>862</v>
      </c>
      <c r="V42" s="10" t="s">
        <v>863</v>
      </c>
      <c r="W42" s="10" t="s">
        <v>872</v>
      </c>
      <c r="X42" s="10" t="s">
        <v>1075</v>
      </c>
      <c r="Y42" s="10" t="s">
        <v>1076</v>
      </c>
    </row>
    <row r="43" spans="1:25" ht="27.95">
      <c r="A43" s="2" t="s">
        <v>1077</v>
      </c>
      <c r="B43" s="2" t="s">
        <v>614</v>
      </c>
      <c r="C43" s="2" t="s">
        <v>615</v>
      </c>
      <c r="D43" s="5">
        <v>46216</v>
      </c>
      <c r="E43" s="5">
        <v>46211</v>
      </c>
      <c r="F43" s="2" t="s">
        <v>876</v>
      </c>
      <c r="G43" s="2" t="s">
        <v>869</v>
      </c>
      <c r="H43" s="2" t="s">
        <v>52</v>
      </c>
      <c r="I43" s="2" t="s">
        <v>48</v>
      </c>
      <c r="J43" s="2" t="s">
        <v>60</v>
      </c>
      <c r="K43" s="2" t="s">
        <v>60</v>
      </c>
      <c r="L43" s="8" t="s">
        <v>61</v>
      </c>
      <c r="M43" s="8" t="s">
        <v>1078</v>
      </c>
      <c r="N43" s="2"/>
      <c r="O43" s="2" t="s">
        <v>871</v>
      </c>
      <c r="P43" s="2" t="s">
        <v>859</v>
      </c>
      <c r="Q43" s="2" t="s">
        <v>63</v>
      </c>
      <c r="R43" s="5"/>
      <c r="S43" s="2" t="s">
        <v>860</v>
      </c>
      <c r="T43" s="2" t="s">
        <v>861</v>
      </c>
      <c r="U43" s="2" t="s">
        <v>862</v>
      </c>
      <c r="V43" s="2" t="s">
        <v>863</v>
      </c>
      <c r="W43" s="2" t="s">
        <v>878</v>
      </c>
      <c r="X43" s="2" t="s">
        <v>1079</v>
      </c>
      <c r="Y43" s="2" t="s">
        <v>1080</v>
      </c>
    </row>
    <row r="44" spans="1:25" ht="42">
      <c r="A44" s="2" t="s">
        <v>1081</v>
      </c>
      <c r="B44" s="2" t="s">
        <v>675</v>
      </c>
      <c r="C44" s="2" t="s">
        <v>676</v>
      </c>
      <c r="D44" s="5">
        <v>46217</v>
      </c>
      <c r="E44" s="5">
        <v>46213</v>
      </c>
      <c r="F44" s="2" t="s">
        <v>882</v>
      </c>
      <c r="G44" s="2" t="s">
        <v>869</v>
      </c>
      <c r="H44" s="2" t="s">
        <v>52</v>
      </c>
      <c r="I44" s="2" t="s">
        <v>48</v>
      </c>
      <c r="J44" s="2" t="s">
        <v>60</v>
      </c>
      <c r="K44" s="2" t="s">
        <v>60</v>
      </c>
      <c r="L44" s="8" t="s">
        <v>74</v>
      </c>
      <c r="M44" s="8" t="s">
        <v>116</v>
      </c>
      <c r="N44" s="2"/>
      <c r="O44" s="2" t="s">
        <v>871</v>
      </c>
      <c r="P44" s="2" t="s">
        <v>883</v>
      </c>
      <c r="Q44" s="2" t="s">
        <v>63</v>
      </c>
      <c r="R44" s="5"/>
      <c r="S44" s="2" t="s">
        <v>860</v>
      </c>
      <c r="T44" s="2" t="s">
        <v>861</v>
      </c>
      <c r="U44" s="2" t="s">
        <v>862</v>
      </c>
      <c r="V44" s="2" t="s">
        <v>863</v>
      </c>
      <c r="W44" s="2" t="s">
        <v>884</v>
      </c>
      <c r="X44" s="2" t="s">
        <v>1082</v>
      </c>
      <c r="Y44" s="2" t="s">
        <v>1083</v>
      </c>
    </row>
    <row r="45" spans="1:25" ht="27.95">
      <c r="A45" s="2" t="s">
        <v>1084</v>
      </c>
      <c r="B45" s="2" t="s">
        <v>732</v>
      </c>
      <c r="C45" s="2" t="s">
        <v>733</v>
      </c>
      <c r="D45" s="5">
        <v>46218</v>
      </c>
      <c r="E45" s="5">
        <v>46215</v>
      </c>
      <c r="F45" s="2" t="s">
        <v>888</v>
      </c>
      <c r="G45" s="2" t="s">
        <v>856</v>
      </c>
      <c r="H45" s="2" t="s">
        <v>52</v>
      </c>
      <c r="I45" s="2" t="s">
        <v>48</v>
      </c>
      <c r="J45" s="2" t="s">
        <v>60</v>
      </c>
      <c r="K45" s="2" t="s">
        <v>63</v>
      </c>
      <c r="L45" s="8" t="s">
        <v>64</v>
      </c>
      <c r="M45" s="8" t="s">
        <v>1085</v>
      </c>
      <c r="N45" s="2"/>
      <c r="O45" s="2" t="s">
        <v>871</v>
      </c>
      <c r="P45" s="2" t="s">
        <v>890</v>
      </c>
      <c r="Q45" s="2" t="s">
        <v>63</v>
      </c>
      <c r="R45" s="5"/>
      <c r="S45" s="2" t="s">
        <v>860</v>
      </c>
      <c r="T45" s="2" t="s">
        <v>861</v>
      </c>
      <c r="U45" s="2" t="s">
        <v>862</v>
      </c>
      <c r="V45" s="2" t="s">
        <v>863</v>
      </c>
      <c r="W45" s="2" t="s">
        <v>891</v>
      </c>
      <c r="X45" s="2" t="s">
        <v>1086</v>
      </c>
      <c r="Y45" s="2" t="s">
        <v>1087</v>
      </c>
    </row>
    <row r="46" spans="1:25" ht="27.95">
      <c r="A46" s="2" t="s">
        <v>1088</v>
      </c>
      <c r="B46" s="2" t="s">
        <v>789</v>
      </c>
      <c r="C46" s="2" t="s">
        <v>790</v>
      </c>
      <c r="D46" s="5">
        <v>46219</v>
      </c>
      <c r="E46" s="5">
        <v>46217</v>
      </c>
      <c r="F46" s="2" t="s">
        <v>888</v>
      </c>
      <c r="G46" s="2" t="s">
        <v>895</v>
      </c>
      <c r="H46" s="2" t="s">
        <v>52</v>
      </c>
      <c r="I46" s="2" t="s">
        <v>48</v>
      </c>
      <c r="J46" s="2" t="s">
        <v>60</v>
      </c>
      <c r="K46" s="2" t="s">
        <v>60</v>
      </c>
      <c r="L46" s="8" t="s">
        <v>64</v>
      </c>
      <c r="M46" s="8" t="s">
        <v>896</v>
      </c>
      <c r="N46" s="2"/>
      <c r="O46" s="2" t="s">
        <v>871</v>
      </c>
      <c r="P46" s="2" t="s">
        <v>890</v>
      </c>
      <c r="Q46" s="2" t="s">
        <v>63</v>
      </c>
      <c r="R46" s="5"/>
      <c r="S46" s="2" t="s">
        <v>860</v>
      </c>
      <c r="T46" s="2" t="s">
        <v>861</v>
      </c>
      <c r="U46" s="2" t="s">
        <v>862</v>
      </c>
      <c r="V46" s="2" t="s">
        <v>863</v>
      </c>
      <c r="W46" s="2" t="s">
        <v>891</v>
      </c>
      <c r="X46" s="2" t="s">
        <v>1089</v>
      </c>
      <c r="Y46" s="2" t="s">
        <v>1090</v>
      </c>
    </row>
    <row r="47" spans="1:25" ht="27.95">
      <c r="A47" s="2" t="s">
        <v>1091</v>
      </c>
      <c r="B47" s="2" t="s">
        <v>82</v>
      </c>
      <c r="C47" s="2" t="s">
        <v>83</v>
      </c>
      <c r="D47" s="5">
        <v>46220</v>
      </c>
      <c r="E47" s="5">
        <v>46219</v>
      </c>
      <c r="F47" s="2" t="s">
        <v>900</v>
      </c>
      <c r="G47" s="2" t="s">
        <v>856</v>
      </c>
      <c r="H47" s="2" t="s">
        <v>52</v>
      </c>
      <c r="I47" s="2" t="s">
        <v>48</v>
      </c>
      <c r="J47" s="2" t="s">
        <v>60</v>
      </c>
      <c r="K47" s="2" t="s">
        <v>60</v>
      </c>
      <c r="L47" s="8"/>
      <c r="M47" s="8" t="s">
        <v>1092</v>
      </c>
      <c r="N47" s="2"/>
      <c r="O47" s="2" t="s">
        <v>871</v>
      </c>
      <c r="P47" s="2" t="s">
        <v>902</v>
      </c>
      <c r="Q47" s="2" t="s">
        <v>63</v>
      </c>
      <c r="R47" s="5"/>
      <c r="S47" s="2" t="s">
        <v>860</v>
      </c>
      <c r="T47" s="2" t="s">
        <v>861</v>
      </c>
      <c r="U47" s="2" t="s">
        <v>862</v>
      </c>
      <c r="V47" s="2" t="s">
        <v>863</v>
      </c>
      <c r="W47" s="2" t="s">
        <v>903</v>
      </c>
      <c r="X47" s="2" t="s">
        <v>1093</v>
      </c>
      <c r="Y47" s="2" t="s">
        <v>1094</v>
      </c>
    </row>
    <row r="48" spans="1:25" ht="42">
      <c r="A48" s="2" t="s">
        <v>1095</v>
      </c>
      <c r="B48" s="2" t="s">
        <v>188</v>
      </c>
      <c r="C48" s="2" t="s">
        <v>189</v>
      </c>
      <c r="D48" s="5">
        <v>46221</v>
      </c>
      <c r="E48" s="5">
        <v>46221</v>
      </c>
      <c r="F48" s="2" t="s">
        <v>907</v>
      </c>
      <c r="G48" s="2" t="s">
        <v>856</v>
      </c>
      <c r="H48" s="2" t="s">
        <v>52</v>
      </c>
      <c r="I48" s="2" t="s">
        <v>48</v>
      </c>
      <c r="J48" s="2" t="s">
        <v>60</v>
      </c>
      <c r="K48" s="2" t="s">
        <v>60</v>
      </c>
      <c r="L48" s="8" t="s">
        <v>908</v>
      </c>
      <c r="M48" s="8" t="s">
        <v>987</v>
      </c>
      <c r="N48" s="2"/>
      <c r="O48" s="2" t="s">
        <v>871</v>
      </c>
      <c r="P48" s="2" t="s">
        <v>859</v>
      </c>
      <c r="Q48" s="2" t="s">
        <v>60</v>
      </c>
      <c r="R48" s="5">
        <v>46251</v>
      </c>
      <c r="S48" s="2" t="s">
        <v>910</v>
      </c>
      <c r="T48" s="2" t="s">
        <v>861</v>
      </c>
      <c r="U48" s="2" t="s">
        <v>974</v>
      </c>
      <c r="V48" s="2" t="s">
        <v>988</v>
      </c>
      <c r="W48" s="2" t="s">
        <v>913</v>
      </c>
      <c r="X48" s="2" t="s">
        <v>1096</v>
      </c>
      <c r="Y48" s="2" t="s">
        <v>1097</v>
      </c>
    </row>
    <row r="49" spans="1:25" ht="27.95">
      <c r="A49" s="2" t="s">
        <v>1098</v>
      </c>
      <c r="B49" s="2" t="s">
        <v>270</v>
      </c>
      <c r="C49" s="2" t="s">
        <v>271</v>
      </c>
      <c r="D49" s="5">
        <v>46222</v>
      </c>
      <c r="E49" s="5">
        <v>46223</v>
      </c>
      <c r="F49" s="2" t="s">
        <v>917</v>
      </c>
      <c r="G49" s="2" t="s">
        <v>856</v>
      </c>
      <c r="H49" s="2" t="s">
        <v>52</v>
      </c>
      <c r="I49" s="2" t="s">
        <v>48</v>
      </c>
      <c r="J49" s="2" t="s">
        <v>60</v>
      </c>
      <c r="K49" s="2" t="s">
        <v>63</v>
      </c>
      <c r="L49" s="8" t="s">
        <v>918</v>
      </c>
      <c r="M49" s="8" t="s">
        <v>1099</v>
      </c>
      <c r="N49" s="2"/>
      <c r="O49" s="2" t="s">
        <v>871</v>
      </c>
      <c r="P49" s="2" t="s">
        <v>920</v>
      </c>
      <c r="Q49" s="2" t="s">
        <v>63</v>
      </c>
      <c r="R49" s="5"/>
      <c r="S49" s="2" t="s">
        <v>860</v>
      </c>
      <c r="T49" s="2" t="s">
        <v>861</v>
      </c>
      <c r="U49" s="2" t="s">
        <v>862</v>
      </c>
      <c r="V49" s="2" t="s">
        <v>863</v>
      </c>
      <c r="W49" s="2" t="s">
        <v>921</v>
      </c>
      <c r="X49" s="2" t="s">
        <v>1100</v>
      </c>
      <c r="Y49" s="2" t="s">
        <v>1101</v>
      </c>
    </row>
    <row r="50" spans="1:25" ht="42">
      <c r="A50" s="2" t="s">
        <v>1102</v>
      </c>
      <c r="B50" s="2" t="s">
        <v>341</v>
      </c>
      <c r="C50" s="2" t="s">
        <v>342</v>
      </c>
      <c r="D50" s="5">
        <v>46223</v>
      </c>
      <c r="E50" s="5">
        <v>46225</v>
      </c>
      <c r="F50" s="2" t="s">
        <v>925</v>
      </c>
      <c r="G50" s="2" t="s">
        <v>869</v>
      </c>
      <c r="H50" s="2" t="s">
        <v>52</v>
      </c>
      <c r="I50" s="2" t="s">
        <v>48</v>
      </c>
      <c r="J50" s="2" t="s">
        <v>60</v>
      </c>
      <c r="K50" s="2" t="s">
        <v>60</v>
      </c>
      <c r="L50" s="8" t="s">
        <v>1103</v>
      </c>
      <c r="M50" s="8" t="s">
        <v>1104</v>
      </c>
      <c r="N50" s="2"/>
      <c r="O50" s="2" t="s">
        <v>871</v>
      </c>
      <c r="P50" s="2" t="s">
        <v>928</v>
      </c>
      <c r="Q50" s="2" t="s">
        <v>63</v>
      </c>
      <c r="R50" s="5"/>
      <c r="S50" s="2" t="s">
        <v>860</v>
      </c>
      <c r="T50" s="2" t="s">
        <v>861</v>
      </c>
      <c r="U50" s="2" t="s">
        <v>862</v>
      </c>
      <c r="V50" s="2" t="s">
        <v>863</v>
      </c>
      <c r="W50" s="2" t="s">
        <v>929</v>
      </c>
      <c r="X50" s="2" t="s">
        <v>1105</v>
      </c>
      <c r="Y50" s="2" t="s">
        <v>1106</v>
      </c>
    </row>
    <row r="51" spans="1:25" ht="27.95">
      <c r="A51" s="2" t="s">
        <v>1107</v>
      </c>
      <c r="B51" s="2" t="s">
        <v>408</v>
      </c>
      <c r="C51" s="2" t="s">
        <v>409</v>
      </c>
      <c r="D51" s="5">
        <v>46224</v>
      </c>
      <c r="E51" s="5">
        <v>46227</v>
      </c>
      <c r="F51" s="2" t="s">
        <v>933</v>
      </c>
      <c r="G51" s="2" t="s">
        <v>895</v>
      </c>
      <c r="H51" s="2" t="s">
        <v>52</v>
      </c>
      <c r="I51" s="2" t="s">
        <v>48</v>
      </c>
      <c r="J51" s="2" t="s">
        <v>60</v>
      </c>
      <c r="K51" s="2" t="s">
        <v>60</v>
      </c>
      <c r="L51" s="8" t="s">
        <v>934</v>
      </c>
      <c r="M51" s="8" t="s">
        <v>935</v>
      </c>
      <c r="N51" s="2"/>
      <c r="O51" s="2" t="s">
        <v>871</v>
      </c>
      <c r="P51" s="2" t="s">
        <v>936</v>
      </c>
      <c r="Q51" s="2" t="s">
        <v>63</v>
      </c>
      <c r="R51" s="5"/>
      <c r="S51" s="2" t="s">
        <v>860</v>
      </c>
      <c r="T51" s="2" t="s">
        <v>861</v>
      </c>
      <c r="U51" s="2" t="s">
        <v>862</v>
      </c>
      <c r="V51" s="2" t="s">
        <v>937</v>
      </c>
      <c r="W51" s="2" t="s">
        <v>938</v>
      </c>
      <c r="X51" s="2" t="s">
        <v>1108</v>
      </c>
      <c r="Y51" s="2" t="s">
        <v>1109</v>
      </c>
    </row>
    <row r="52" spans="1:25" ht="42">
      <c r="A52" s="2" t="s">
        <v>1110</v>
      </c>
      <c r="B52" s="2" t="s">
        <v>469</v>
      </c>
      <c r="C52" s="2" t="s">
        <v>470</v>
      </c>
      <c r="D52" s="5">
        <v>46225</v>
      </c>
      <c r="E52" s="5">
        <v>46229</v>
      </c>
      <c r="F52" s="2" t="s">
        <v>942</v>
      </c>
      <c r="G52" s="2" t="s">
        <v>869</v>
      </c>
      <c r="H52" s="2" t="s">
        <v>52</v>
      </c>
      <c r="I52" s="2" t="s">
        <v>48</v>
      </c>
      <c r="J52" s="2" t="s">
        <v>60</v>
      </c>
      <c r="K52" s="2" t="s">
        <v>60</v>
      </c>
      <c r="L52" s="8" t="s">
        <v>54</v>
      </c>
      <c r="M52" s="8" t="s">
        <v>943</v>
      </c>
      <c r="N52" s="2"/>
      <c r="O52" s="2" t="s">
        <v>871</v>
      </c>
      <c r="P52" s="2" t="s">
        <v>944</v>
      </c>
      <c r="Q52" s="2" t="s">
        <v>63</v>
      </c>
      <c r="R52" s="5"/>
      <c r="S52" s="2" t="s">
        <v>860</v>
      </c>
      <c r="T52" s="2" t="s">
        <v>861</v>
      </c>
      <c r="U52" s="2" t="s">
        <v>862</v>
      </c>
      <c r="V52" s="2" t="s">
        <v>863</v>
      </c>
      <c r="W52" s="2" t="s">
        <v>945</v>
      </c>
      <c r="X52" s="2" t="s">
        <v>1111</v>
      </c>
      <c r="Y52" s="2" t="s">
        <v>1112</v>
      </c>
    </row>
    <row r="53" spans="1:25" ht="27.95">
      <c r="A53" s="10" t="s">
        <v>1113</v>
      </c>
      <c r="B53" s="10" t="s">
        <v>528</v>
      </c>
      <c r="C53" s="10" t="s">
        <v>529</v>
      </c>
      <c r="D53" s="11">
        <v>46226</v>
      </c>
      <c r="E53" s="11">
        <v>46231</v>
      </c>
      <c r="F53" s="10" t="s">
        <v>855</v>
      </c>
      <c r="G53" s="10" t="s">
        <v>869</v>
      </c>
      <c r="H53" s="10" t="s">
        <v>52</v>
      </c>
      <c r="I53" s="10" t="s">
        <v>48</v>
      </c>
      <c r="J53" s="10" t="s">
        <v>60</v>
      </c>
      <c r="K53" s="10" t="s">
        <v>63</v>
      </c>
      <c r="L53" s="10" t="s">
        <v>1114</v>
      </c>
      <c r="M53" s="10" t="s">
        <v>1115</v>
      </c>
      <c r="N53" s="10" t="s">
        <v>123</v>
      </c>
      <c r="O53" s="10" t="s">
        <v>60</v>
      </c>
      <c r="P53" s="10" t="s">
        <v>859</v>
      </c>
      <c r="Q53" s="10" t="s">
        <v>63</v>
      </c>
      <c r="R53" s="11"/>
      <c r="S53" s="10" t="s">
        <v>860</v>
      </c>
      <c r="T53" s="10" t="s">
        <v>861</v>
      </c>
      <c r="U53" s="10" t="s">
        <v>862</v>
      </c>
      <c r="V53" s="10" t="s">
        <v>863</v>
      </c>
      <c r="W53" s="10" t="s">
        <v>951</v>
      </c>
      <c r="X53" s="10" t="s">
        <v>1116</v>
      </c>
      <c r="Y53" s="10" t="s">
        <v>1117</v>
      </c>
    </row>
    <row r="54" spans="1:25" ht="42">
      <c r="A54" s="10" t="s">
        <v>1118</v>
      </c>
      <c r="B54" s="10" t="s">
        <v>588</v>
      </c>
      <c r="C54" s="10" t="s">
        <v>589</v>
      </c>
      <c r="D54" s="11">
        <v>46227</v>
      </c>
      <c r="E54" s="11">
        <v>46233</v>
      </c>
      <c r="F54" s="10" t="s">
        <v>855</v>
      </c>
      <c r="G54" s="10" t="s">
        <v>856</v>
      </c>
      <c r="H54" s="10" t="s">
        <v>52</v>
      </c>
      <c r="I54" s="10" t="s">
        <v>48</v>
      </c>
      <c r="J54" s="10" t="s">
        <v>60</v>
      </c>
      <c r="K54" s="10" t="s">
        <v>60</v>
      </c>
      <c r="L54" s="10" t="s">
        <v>1119</v>
      </c>
      <c r="M54" s="10" t="s">
        <v>1120</v>
      </c>
      <c r="N54" s="10" t="s">
        <v>79</v>
      </c>
      <c r="O54" s="10" t="s">
        <v>60</v>
      </c>
      <c r="P54" s="10" t="s">
        <v>859</v>
      </c>
      <c r="Q54" s="10" t="s">
        <v>63</v>
      </c>
      <c r="R54" s="11"/>
      <c r="S54" s="10" t="s">
        <v>860</v>
      </c>
      <c r="T54" s="10" t="s">
        <v>861</v>
      </c>
      <c r="U54" s="10" t="s">
        <v>862</v>
      </c>
      <c r="V54" s="10" t="s">
        <v>863</v>
      </c>
      <c r="W54" s="10" t="s">
        <v>864</v>
      </c>
      <c r="X54" s="10" t="s">
        <v>1121</v>
      </c>
      <c r="Y54" s="10" t="s">
        <v>1122</v>
      </c>
    </row>
    <row r="55" spans="1:25" ht="42">
      <c r="A55" s="2" t="s">
        <v>1123</v>
      </c>
      <c r="B55" s="2" t="s">
        <v>647</v>
      </c>
      <c r="C55" s="2" t="s">
        <v>648</v>
      </c>
      <c r="D55" s="5">
        <v>46228</v>
      </c>
      <c r="E55" s="5">
        <v>46235</v>
      </c>
      <c r="F55" s="2" t="s">
        <v>868</v>
      </c>
      <c r="G55" s="2" t="s">
        <v>869</v>
      </c>
      <c r="H55" s="2" t="s">
        <v>52</v>
      </c>
      <c r="I55" s="2" t="s">
        <v>48</v>
      </c>
      <c r="J55" s="2" t="s">
        <v>60</v>
      </c>
      <c r="K55" s="2" t="s">
        <v>60</v>
      </c>
      <c r="L55" s="8"/>
      <c r="M55" s="8" t="s">
        <v>1124</v>
      </c>
      <c r="N55" s="2"/>
      <c r="O55" s="2" t="s">
        <v>871</v>
      </c>
      <c r="P55" s="2" t="s">
        <v>859</v>
      </c>
      <c r="Q55" s="2" t="s">
        <v>63</v>
      </c>
      <c r="R55" s="5"/>
      <c r="S55" s="2" t="s">
        <v>860</v>
      </c>
      <c r="T55" s="2" t="s">
        <v>861</v>
      </c>
      <c r="U55" s="2" t="s">
        <v>862</v>
      </c>
      <c r="V55" s="2" t="s">
        <v>863</v>
      </c>
      <c r="W55" s="2" t="s">
        <v>872</v>
      </c>
      <c r="X55" s="2" t="s">
        <v>1125</v>
      </c>
      <c r="Y55" s="2" t="s">
        <v>1126</v>
      </c>
    </row>
    <row r="56" spans="1:25" ht="42">
      <c r="A56" s="2" t="s">
        <v>1127</v>
      </c>
      <c r="B56" s="2" t="s">
        <v>707</v>
      </c>
      <c r="C56" s="2" t="s">
        <v>708</v>
      </c>
      <c r="D56" s="5">
        <v>46229</v>
      </c>
      <c r="E56" s="5">
        <v>46237</v>
      </c>
      <c r="F56" s="2" t="s">
        <v>876</v>
      </c>
      <c r="G56" s="2" t="s">
        <v>869</v>
      </c>
      <c r="H56" s="2" t="s">
        <v>52</v>
      </c>
      <c r="I56" s="2" t="s">
        <v>48</v>
      </c>
      <c r="J56" s="2" t="s">
        <v>60</v>
      </c>
      <c r="K56" s="2" t="s">
        <v>60</v>
      </c>
      <c r="L56" s="8" t="s">
        <v>61</v>
      </c>
      <c r="M56" s="8" t="s">
        <v>1128</v>
      </c>
      <c r="N56" s="2"/>
      <c r="O56" s="2" t="s">
        <v>871</v>
      </c>
      <c r="P56" s="2" t="s">
        <v>859</v>
      </c>
      <c r="Q56" s="2" t="s">
        <v>60</v>
      </c>
      <c r="R56" s="5">
        <v>46259</v>
      </c>
      <c r="S56" s="2" t="s">
        <v>860</v>
      </c>
      <c r="T56" s="2" t="s">
        <v>861</v>
      </c>
      <c r="U56" s="2" t="s">
        <v>974</v>
      </c>
      <c r="V56" s="2" t="s">
        <v>1129</v>
      </c>
      <c r="W56" s="2" t="s">
        <v>1130</v>
      </c>
      <c r="X56" s="2" t="s">
        <v>1131</v>
      </c>
      <c r="Y56" s="2" t="s">
        <v>1132</v>
      </c>
    </row>
    <row r="57" spans="1:25" ht="42">
      <c r="A57" s="2" t="s">
        <v>1133</v>
      </c>
      <c r="B57" s="2" t="s">
        <v>765</v>
      </c>
      <c r="C57" s="2" t="s">
        <v>766</v>
      </c>
      <c r="D57" s="5">
        <v>46230</v>
      </c>
      <c r="E57" s="5">
        <v>46239</v>
      </c>
      <c r="F57" s="2" t="s">
        <v>882</v>
      </c>
      <c r="G57" s="2" t="s">
        <v>869</v>
      </c>
      <c r="H57" s="2" t="s">
        <v>52</v>
      </c>
      <c r="I57" s="2" t="s">
        <v>48</v>
      </c>
      <c r="J57" s="2" t="s">
        <v>60</v>
      </c>
      <c r="K57" s="2" t="s">
        <v>63</v>
      </c>
      <c r="L57" s="8" t="s">
        <v>87</v>
      </c>
      <c r="M57" s="8" t="s">
        <v>165</v>
      </c>
      <c r="N57" s="2"/>
      <c r="O57" s="2" t="s">
        <v>871</v>
      </c>
      <c r="P57" s="2" t="s">
        <v>883</v>
      </c>
      <c r="Q57" s="2" t="s">
        <v>63</v>
      </c>
      <c r="R57" s="5"/>
      <c r="S57" s="2" t="s">
        <v>860</v>
      </c>
      <c r="T57" s="2" t="s">
        <v>861</v>
      </c>
      <c r="U57" s="2" t="s">
        <v>862</v>
      </c>
      <c r="V57" s="2" t="s">
        <v>863</v>
      </c>
      <c r="W57" s="2" t="s">
        <v>884</v>
      </c>
      <c r="X57" s="2" t="s">
        <v>1134</v>
      </c>
      <c r="Y57" s="2" t="s">
        <v>1135</v>
      </c>
    </row>
    <row r="58" spans="1:25" ht="27.95">
      <c r="A58" s="2" t="s">
        <v>1136</v>
      </c>
      <c r="B58" s="2" t="s">
        <v>822</v>
      </c>
      <c r="C58" s="2" t="s">
        <v>823</v>
      </c>
      <c r="D58" s="5">
        <v>46231</v>
      </c>
      <c r="E58" s="5">
        <v>46241</v>
      </c>
      <c r="F58" s="2" t="s">
        <v>888</v>
      </c>
      <c r="G58" s="2" t="s">
        <v>856</v>
      </c>
      <c r="H58" s="2" t="s">
        <v>52</v>
      </c>
      <c r="I58" s="2" t="s">
        <v>48</v>
      </c>
      <c r="J58" s="2" t="s">
        <v>60</v>
      </c>
      <c r="K58" s="2" t="s">
        <v>60</v>
      </c>
      <c r="L58" s="8" t="s">
        <v>64</v>
      </c>
      <c r="M58" s="8" t="s">
        <v>1137</v>
      </c>
      <c r="N58" s="2"/>
      <c r="O58" s="2" t="s">
        <v>871</v>
      </c>
      <c r="P58" s="2" t="s">
        <v>890</v>
      </c>
      <c r="Q58" s="2" t="s">
        <v>63</v>
      </c>
      <c r="R58" s="5"/>
      <c r="S58" s="2" t="s">
        <v>860</v>
      </c>
      <c r="T58" s="2" t="s">
        <v>861</v>
      </c>
      <c r="U58" s="2" t="s">
        <v>862</v>
      </c>
      <c r="V58" s="2" t="s">
        <v>863</v>
      </c>
      <c r="W58" s="2" t="s">
        <v>891</v>
      </c>
      <c r="X58" s="2" t="s">
        <v>1138</v>
      </c>
      <c r="Y58" s="2" t="s">
        <v>1139</v>
      </c>
    </row>
    <row r="59" spans="1:25" ht="27.95">
      <c r="A59" s="2" t="s">
        <v>1140</v>
      </c>
      <c r="B59" s="2" t="s">
        <v>145</v>
      </c>
      <c r="C59" s="2" t="s">
        <v>146</v>
      </c>
      <c r="D59" s="5">
        <v>46232</v>
      </c>
      <c r="E59" s="5">
        <v>46243</v>
      </c>
      <c r="F59" s="2" t="s">
        <v>888</v>
      </c>
      <c r="G59" s="2" t="s">
        <v>895</v>
      </c>
      <c r="H59" s="2" t="s">
        <v>52</v>
      </c>
      <c r="I59" s="2" t="s">
        <v>48</v>
      </c>
      <c r="J59" s="2" t="s">
        <v>60</v>
      </c>
      <c r="K59" s="2" t="s">
        <v>60</v>
      </c>
      <c r="L59" s="8" t="s">
        <v>64</v>
      </c>
      <c r="M59" s="8" t="s">
        <v>896</v>
      </c>
      <c r="N59" s="2"/>
      <c r="O59" s="2" t="s">
        <v>871</v>
      </c>
      <c r="P59" s="2" t="s">
        <v>890</v>
      </c>
      <c r="Q59" s="2" t="s">
        <v>63</v>
      </c>
      <c r="R59" s="5"/>
      <c r="S59" s="2" t="s">
        <v>860</v>
      </c>
      <c r="T59" s="2" t="s">
        <v>861</v>
      </c>
      <c r="U59" s="2" t="s">
        <v>862</v>
      </c>
      <c r="V59" s="2" t="s">
        <v>863</v>
      </c>
      <c r="W59" s="2" t="s">
        <v>891</v>
      </c>
      <c r="X59" s="2" t="s">
        <v>1141</v>
      </c>
      <c r="Y59" s="2" t="s">
        <v>1142</v>
      </c>
    </row>
    <row r="60" spans="1:25" ht="27.95">
      <c r="A60" s="2" t="s">
        <v>1143</v>
      </c>
      <c r="B60" s="2" t="s">
        <v>235</v>
      </c>
      <c r="C60" s="2" t="s">
        <v>236</v>
      </c>
      <c r="D60" s="5">
        <v>46233</v>
      </c>
      <c r="E60" s="5">
        <v>46245</v>
      </c>
      <c r="F60" s="2" t="s">
        <v>900</v>
      </c>
      <c r="G60" s="2" t="s">
        <v>856</v>
      </c>
      <c r="H60" s="2" t="s">
        <v>52</v>
      </c>
      <c r="I60" s="2" t="s">
        <v>48</v>
      </c>
      <c r="J60" s="2" t="s">
        <v>60</v>
      </c>
      <c r="K60" s="2" t="s">
        <v>60</v>
      </c>
      <c r="L60" s="8" t="s">
        <v>246</v>
      </c>
      <c r="M60" s="8" t="s">
        <v>1144</v>
      </c>
      <c r="N60" s="2"/>
      <c r="O60" s="2" t="s">
        <v>871</v>
      </c>
      <c r="P60" s="2" t="s">
        <v>902</v>
      </c>
      <c r="Q60" s="2" t="s">
        <v>63</v>
      </c>
      <c r="R60" s="5"/>
      <c r="S60" s="2" t="s">
        <v>860</v>
      </c>
      <c r="T60" s="2" t="s">
        <v>861</v>
      </c>
      <c r="U60" s="2" t="s">
        <v>862</v>
      </c>
      <c r="V60" s="2" t="s">
        <v>863</v>
      </c>
      <c r="W60" s="2" t="s">
        <v>903</v>
      </c>
      <c r="X60" s="2" t="s">
        <v>1145</v>
      </c>
      <c r="Y60" s="2" t="s">
        <v>1146</v>
      </c>
    </row>
    <row r="61" spans="1:25" ht="42">
      <c r="A61" s="2" t="s">
        <v>1147</v>
      </c>
      <c r="B61" s="2" t="s">
        <v>314</v>
      </c>
      <c r="C61" s="2" t="s">
        <v>315</v>
      </c>
      <c r="D61" s="5">
        <v>46234</v>
      </c>
      <c r="E61" s="5">
        <v>46247</v>
      </c>
      <c r="F61" s="2" t="s">
        <v>907</v>
      </c>
      <c r="G61" s="2" t="s">
        <v>856</v>
      </c>
      <c r="H61" s="2" t="s">
        <v>52</v>
      </c>
      <c r="I61" s="2" t="s">
        <v>48</v>
      </c>
      <c r="J61" s="2" t="s">
        <v>60</v>
      </c>
      <c r="K61" s="2" t="s">
        <v>63</v>
      </c>
      <c r="L61" s="8" t="s">
        <v>908</v>
      </c>
      <c r="M61" s="8" t="s">
        <v>909</v>
      </c>
      <c r="N61" s="2"/>
      <c r="O61" s="2" t="s">
        <v>871</v>
      </c>
      <c r="P61" s="2" t="s">
        <v>859</v>
      </c>
      <c r="Q61" s="2" t="s">
        <v>63</v>
      </c>
      <c r="R61" s="5"/>
      <c r="S61" s="2" t="s">
        <v>910</v>
      </c>
      <c r="T61" s="2" t="s">
        <v>861</v>
      </c>
      <c r="U61" s="2" t="s">
        <v>911</v>
      </c>
      <c r="V61" s="2" t="s">
        <v>912</v>
      </c>
      <c r="W61" s="2" t="s">
        <v>913</v>
      </c>
      <c r="X61" s="2" t="s">
        <v>1148</v>
      </c>
      <c r="Y61" s="2" t="s">
        <v>1149</v>
      </c>
    </row>
    <row r="62" spans="1:25">
      <c r="D62" s="6"/>
      <c r="E62" s="6"/>
      <c r="R62" s="6"/>
    </row>
    <row r="63" spans="1:25">
      <c r="D63" s="6"/>
      <c r="E63" s="6"/>
      <c r="R63" s="6"/>
    </row>
    <row r="64" spans="1:25">
      <c r="D64" s="6"/>
      <c r="E64" s="6"/>
      <c r="R64" s="6"/>
    </row>
    <row r="65" spans="4:18">
      <c r="D65" s="6"/>
      <c r="E65" s="6"/>
      <c r="R65" s="6"/>
    </row>
    <row r="66" spans="4:18">
      <c r="D66" s="6"/>
      <c r="E66" s="6"/>
      <c r="R66" s="6"/>
    </row>
    <row r="67" spans="4:18">
      <c r="D67" s="6"/>
      <c r="E67" s="6"/>
      <c r="R67" s="6"/>
    </row>
    <row r="68" spans="4:18">
      <c r="D68" s="6"/>
      <c r="E68" s="6"/>
      <c r="R68" s="6"/>
    </row>
    <row r="69" spans="4:18">
      <c r="D69" s="6"/>
      <c r="E69" s="6"/>
      <c r="R69" s="6"/>
    </row>
    <row r="70" spans="4:18">
      <c r="D70" s="6"/>
      <c r="E70" s="6"/>
      <c r="R70" s="6"/>
    </row>
    <row r="71" spans="4:18">
      <c r="D71" s="6"/>
      <c r="E71" s="6"/>
      <c r="R71" s="6"/>
    </row>
    <row r="72" spans="4:18">
      <c r="D72" s="6"/>
      <c r="E72" s="6"/>
      <c r="R72" s="6"/>
    </row>
    <row r="73" spans="4:18">
      <c r="D73" s="6"/>
      <c r="E73" s="6"/>
      <c r="R73" s="6"/>
    </row>
    <row r="74" spans="4:18">
      <c r="D74" s="6"/>
      <c r="E74" s="6"/>
      <c r="R74" s="6"/>
    </row>
    <row r="75" spans="4:18">
      <c r="D75" s="6"/>
      <c r="E75" s="6"/>
      <c r="R75" s="6"/>
    </row>
    <row r="76" spans="4:18">
      <c r="D76" s="6"/>
      <c r="E76" s="6"/>
      <c r="R76" s="6"/>
    </row>
    <row r="77" spans="4:18">
      <c r="D77" s="6"/>
      <c r="E77" s="6"/>
      <c r="R77" s="6"/>
    </row>
    <row r="78" spans="4:18">
      <c r="D78" s="6"/>
      <c r="E78" s="6"/>
      <c r="R78" s="6"/>
    </row>
    <row r="79" spans="4:18">
      <c r="D79" s="6"/>
      <c r="E79" s="6"/>
      <c r="R79" s="6"/>
    </row>
    <row r="80" spans="4:18">
      <c r="D80" s="6"/>
      <c r="E80" s="6"/>
      <c r="R80" s="6"/>
    </row>
    <row r="81" spans="4:18">
      <c r="D81" s="6"/>
      <c r="E81" s="6"/>
      <c r="R81" s="6"/>
    </row>
    <row r="82" spans="4:18">
      <c r="D82" s="6"/>
      <c r="E82" s="6"/>
      <c r="R82" s="6"/>
    </row>
    <row r="83" spans="4:18">
      <c r="D83" s="6"/>
      <c r="E83" s="6"/>
      <c r="R83" s="6"/>
    </row>
    <row r="84" spans="4:18">
      <c r="D84" s="6"/>
      <c r="E84" s="6"/>
      <c r="R84" s="6"/>
    </row>
    <row r="85" spans="4:18">
      <c r="D85" s="6"/>
      <c r="E85" s="6"/>
      <c r="R85" s="6"/>
    </row>
    <row r="86" spans="4:18">
      <c r="D86" s="6"/>
      <c r="E86" s="6"/>
      <c r="R86" s="6"/>
    </row>
    <row r="87" spans="4:18">
      <c r="D87" s="6"/>
      <c r="E87" s="6"/>
      <c r="R87" s="6"/>
    </row>
    <row r="88" spans="4:18">
      <c r="D88" s="6"/>
      <c r="E88" s="6"/>
      <c r="R88" s="6"/>
    </row>
    <row r="89" spans="4:18">
      <c r="D89" s="6"/>
      <c r="E89" s="6"/>
      <c r="R89" s="6"/>
    </row>
    <row r="90" spans="4:18">
      <c r="D90" s="6"/>
      <c r="E90" s="6"/>
      <c r="R90" s="6"/>
    </row>
    <row r="91" spans="4:18">
      <c r="D91" s="6"/>
      <c r="E91" s="6"/>
      <c r="R91" s="6"/>
    </row>
    <row r="92" spans="4:18">
      <c r="D92" s="6"/>
      <c r="E92" s="6"/>
      <c r="R92" s="6"/>
    </row>
    <row r="93" spans="4:18">
      <c r="D93" s="6"/>
      <c r="E93" s="6"/>
      <c r="R93" s="6"/>
    </row>
    <row r="94" spans="4:18">
      <c r="D94" s="6"/>
      <c r="E94" s="6"/>
      <c r="R94" s="6"/>
    </row>
    <row r="95" spans="4:18">
      <c r="D95" s="6"/>
      <c r="E95" s="6"/>
      <c r="R95" s="6"/>
    </row>
    <row r="96" spans="4:18">
      <c r="D96" s="6"/>
      <c r="E96" s="6"/>
      <c r="R96" s="6"/>
    </row>
    <row r="97" spans="4:18">
      <c r="D97" s="6"/>
      <c r="E97" s="6"/>
      <c r="R97" s="6"/>
    </row>
    <row r="98" spans="4:18">
      <c r="D98" s="6"/>
      <c r="E98" s="6"/>
      <c r="R98" s="6"/>
    </row>
    <row r="99" spans="4:18">
      <c r="D99" s="6"/>
      <c r="E99" s="6"/>
      <c r="R99" s="6"/>
    </row>
    <row r="100" spans="4:18">
      <c r="D100" s="6"/>
      <c r="E100" s="6"/>
      <c r="R100" s="6"/>
    </row>
    <row r="101" spans="4:18">
      <c r="D101" s="6"/>
      <c r="E101" s="6"/>
      <c r="R101" s="6"/>
    </row>
    <row r="102" spans="4:18">
      <c r="D102" s="6"/>
      <c r="E102" s="6"/>
      <c r="R102" s="6"/>
    </row>
    <row r="103" spans="4:18">
      <c r="D103" s="6"/>
      <c r="E103" s="6"/>
      <c r="R103" s="6"/>
    </row>
    <row r="104" spans="4:18">
      <c r="D104" s="6"/>
      <c r="E104" s="6"/>
      <c r="R104" s="6"/>
    </row>
    <row r="105" spans="4:18">
      <c r="D105" s="6"/>
      <c r="E105" s="6"/>
      <c r="R105" s="6"/>
    </row>
    <row r="106" spans="4:18">
      <c r="D106" s="6"/>
      <c r="E106" s="6"/>
      <c r="R106" s="6"/>
    </row>
    <row r="107" spans="4:18">
      <c r="D107" s="6"/>
      <c r="E107" s="6"/>
      <c r="R107" s="6"/>
    </row>
    <row r="108" spans="4:18">
      <c r="D108" s="6"/>
      <c r="E108" s="6"/>
      <c r="R108" s="6"/>
    </row>
    <row r="109" spans="4:18">
      <c r="D109" s="6"/>
      <c r="E109" s="6"/>
      <c r="R109" s="6"/>
    </row>
    <row r="110" spans="4:18">
      <c r="D110" s="6"/>
      <c r="E110" s="6"/>
      <c r="R110" s="6"/>
    </row>
    <row r="111" spans="4:18">
      <c r="D111" s="6"/>
      <c r="E111" s="6"/>
      <c r="R111" s="6"/>
    </row>
    <row r="112" spans="4:18">
      <c r="D112" s="6"/>
      <c r="E112" s="6"/>
      <c r="R112" s="6"/>
    </row>
    <row r="113" spans="4:18">
      <c r="D113" s="6"/>
      <c r="E113" s="6"/>
      <c r="R113" s="6"/>
    </row>
    <row r="114" spans="4:18">
      <c r="D114" s="6"/>
      <c r="E114" s="6"/>
      <c r="R114" s="6"/>
    </row>
    <row r="115" spans="4:18">
      <c r="D115" s="6"/>
      <c r="E115" s="6"/>
      <c r="R115" s="6"/>
    </row>
    <row r="116" spans="4:18">
      <c r="D116" s="6"/>
      <c r="E116" s="6"/>
      <c r="R116" s="6"/>
    </row>
    <row r="117" spans="4:18">
      <c r="D117" s="6"/>
      <c r="E117" s="6"/>
      <c r="R117" s="6"/>
    </row>
    <row r="118" spans="4:18">
      <c r="D118" s="6"/>
      <c r="E118" s="6"/>
      <c r="R118" s="6"/>
    </row>
    <row r="119" spans="4:18">
      <c r="D119" s="6"/>
      <c r="E119" s="6"/>
      <c r="R119" s="6"/>
    </row>
    <row r="120" spans="4:18">
      <c r="D120" s="6"/>
      <c r="E120" s="6"/>
      <c r="R120" s="6"/>
    </row>
    <row r="121" spans="4:18">
      <c r="D121" s="6"/>
      <c r="E121" s="6"/>
      <c r="R121" s="6"/>
    </row>
    <row r="122" spans="4:18">
      <c r="D122" s="6"/>
      <c r="E122" s="6"/>
      <c r="R122" s="6"/>
    </row>
    <row r="123" spans="4:18">
      <c r="D123" s="6"/>
      <c r="E123" s="6"/>
      <c r="R123" s="6"/>
    </row>
    <row r="124" spans="4:18">
      <c r="D124" s="6"/>
      <c r="E124" s="6"/>
      <c r="R124" s="6"/>
    </row>
    <row r="125" spans="4:18">
      <c r="D125" s="6"/>
      <c r="E125" s="6"/>
      <c r="R125" s="6"/>
    </row>
    <row r="126" spans="4:18">
      <c r="D126" s="6"/>
      <c r="E126" s="6"/>
      <c r="R126" s="6"/>
    </row>
    <row r="127" spans="4:18">
      <c r="D127" s="6"/>
      <c r="E127" s="6"/>
      <c r="R127" s="6"/>
    </row>
    <row r="128" spans="4:18">
      <c r="D128" s="6"/>
      <c r="E128" s="6"/>
      <c r="R128" s="6"/>
    </row>
    <row r="129" spans="4:18">
      <c r="D129" s="6"/>
      <c r="E129" s="6"/>
      <c r="R129" s="6"/>
    </row>
    <row r="130" spans="4:18">
      <c r="D130" s="6"/>
      <c r="E130" s="6"/>
      <c r="R130" s="6"/>
    </row>
    <row r="131" spans="4:18">
      <c r="D131" s="6"/>
      <c r="E131" s="6"/>
      <c r="R131" s="6"/>
    </row>
    <row r="132" spans="4:18">
      <c r="D132" s="6"/>
      <c r="E132" s="6"/>
      <c r="R132" s="6"/>
    </row>
    <row r="133" spans="4:18">
      <c r="D133" s="6"/>
      <c r="E133" s="6"/>
      <c r="R133" s="6"/>
    </row>
    <row r="134" spans="4:18">
      <c r="D134" s="6"/>
      <c r="E134" s="6"/>
      <c r="R134" s="6"/>
    </row>
    <row r="135" spans="4:18">
      <c r="D135" s="6"/>
      <c r="E135" s="6"/>
      <c r="R135" s="6"/>
    </row>
    <row r="136" spans="4:18">
      <c r="D136" s="6"/>
      <c r="E136" s="6"/>
      <c r="R136" s="6"/>
    </row>
    <row r="137" spans="4:18">
      <c r="D137" s="6"/>
      <c r="E137" s="6"/>
      <c r="R137" s="6"/>
    </row>
    <row r="138" spans="4:18">
      <c r="D138" s="6"/>
      <c r="E138" s="6"/>
      <c r="R138" s="6"/>
    </row>
    <row r="139" spans="4:18">
      <c r="D139" s="6"/>
      <c r="E139" s="6"/>
      <c r="R139" s="6"/>
    </row>
    <row r="140" spans="4:18">
      <c r="D140" s="6"/>
      <c r="E140" s="6"/>
      <c r="R140" s="6"/>
    </row>
    <row r="141" spans="4:18">
      <c r="D141" s="6"/>
      <c r="E141" s="6"/>
      <c r="R141" s="6"/>
    </row>
    <row r="142" spans="4:18">
      <c r="D142" s="6"/>
      <c r="E142" s="6"/>
      <c r="R142" s="6"/>
    </row>
    <row r="143" spans="4:18">
      <c r="D143" s="6"/>
      <c r="E143" s="6"/>
      <c r="R143" s="6"/>
    </row>
    <row r="144" spans="4:18">
      <c r="D144" s="6"/>
      <c r="E144" s="6"/>
      <c r="R144" s="6"/>
    </row>
    <row r="145" spans="4:18">
      <c r="D145" s="6"/>
      <c r="E145" s="6"/>
      <c r="R145" s="6"/>
    </row>
    <row r="146" spans="4:18">
      <c r="D146" s="6"/>
      <c r="E146" s="6"/>
      <c r="R146" s="6"/>
    </row>
    <row r="147" spans="4:18">
      <c r="D147" s="6"/>
      <c r="E147" s="6"/>
      <c r="R147" s="6"/>
    </row>
    <row r="148" spans="4:18">
      <c r="D148" s="6"/>
      <c r="E148" s="6"/>
      <c r="R148" s="6"/>
    </row>
    <row r="149" spans="4:18">
      <c r="D149" s="6"/>
      <c r="E149" s="6"/>
      <c r="R149" s="6"/>
    </row>
    <row r="150" spans="4:18">
      <c r="D150" s="6"/>
      <c r="E150" s="6"/>
      <c r="R150" s="6"/>
    </row>
    <row r="151" spans="4:18">
      <c r="D151" s="6"/>
      <c r="E151" s="6"/>
      <c r="R151" s="6"/>
    </row>
    <row r="152" spans="4:18">
      <c r="D152" s="6"/>
      <c r="E152" s="6"/>
      <c r="R152" s="6"/>
    </row>
    <row r="153" spans="4:18">
      <c r="D153" s="6"/>
      <c r="E153" s="6"/>
      <c r="R153" s="6"/>
    </row>
    <row r="154" spans="4:18">
      <c r="D154" s="6"/>
      <c r="E154" s="6"/>
      <c r="R154" s="6"/>
    </row>
    <row r="155" spans="4:18">
      <c r="D155" s="6"/>
      <c r="E155" s="6"/>
      <c r="R155" s="6"/>
    </row>
    <row r="156" spans="4:18">
      <c r="D156" s="6"/>
      <c r="E156" s="6"/>
      <c r="R156" s="6"/>
    </row>
    <row r="157" spans="4:18">
      <c r="D157" s="6"/>
      <c r="E157" s="6"/>
      <c r="R157" s="6"/>
    </row>
    <row r="158" spans="4:18">
      <c r="D158" s="6"/>
      <c r="E158" s="6"/>
      <c r="R158" s="6"/>
    </row>
    <row r="159" spans="4:18">
      <c r="D159" s="6"/>
      <c r="E159" s="6"/>
      <c r="R159" s="6"/>
    </row>
    <row r="160" spans="4:18">
      <c r="D160" s="6"/>
      <c r="E160" s="6"/>
      <c r="R160" s="6"/>
    </row>
    <row r="161" spans="4:18">
      <c r="D161" s="6"/>
      <c r="E161" s="6"/>
      <c r="R161" s="6"/>
    </row>
    <row r="162" spans="4:18">
      <c r="D162" s="6"/>
      <c r="E162" s="6"/>
      <c r="R162" s="6"/>
    </row>
    <row r="163" spans="4:18">
      <c r="D163" s="6"/>
      <c r="E163" s="6"/>
      <c r="R163" s="6"/>
    </row>
    <row r="164" spans="4:18">
      <c r="D164" s="6"/>
      <c r="E164" s="6"/>
      <c r="R164" s="6"/>
    </row>
    <row r="165" spans="4:18">
      <c r="D165" s="6"/>
      <c r="E165" s="6"/>
      <c r="R165" s="6"/>
    </row>
    <row r="166" spans="4:18">
      <c r="D166" s="6"/>
      <c r="E166" s="6"/>
      <c r="R166" s="6"/>
    </row>
    <row r="167" spans="4:18">
      <c r="D167" s="6"/>
      <c r="E167" s="6"/>
      <c r="R167" s="6"/>
    </row>
    <row r="168" spans="4:18">
      <c r="D168" s="6"/>
      <c r="E168" s="6"/>
      <c r="R168" s="6"/>
    </row>
    <row r="169" spans="4:18">
      <c r="D169" s="6"/>
      <c r="E169" s="6"/>
      <c r="R169" s="6"/>
    </row>
    <row r="170" spans="4:18">
      <c r="D170" s="6"/>
      <c r="E170" s="6"/>
      <c r="R170" s="6"/>
    </row>
    <row r="171" spans="4:18">
      <c r="D171" s="6"/>
      <c r="E171" s="6"/>
      <c r="R171" s="6"/>
    </row>
    <row r="172" spans="4:18">
      <c r="D172" s="6"/>
      <c r="E172" s="6"/>
      <c r="R172" s="6"/>
    </row>
    <row r="173" spans="4:18">
      <c r="D173" s="6"/>
      <c r="E173" s="6"/>
      <c r="R173" s="6"/>
    </row>
    <row r="174" spans="4:18">
      <c r="D174" s="6"/>
      <c r="E174" s="6"/>
      <c r="R174" s="6"/>
    </row>
    <row r="175" spans="4:18">
      <c r="D175" s="6"/>
      <c r="E175" s="6"/>
      <c r="R175" s="6"/>
    </row>
    <row r="176" spans="4:18">
      <c r="D176" s="6"/>
      <c r="E176" s="6"/>
      <c r="R176" s="6"/>
    </row>
    <row r="177" spans="4:18">
      <c r="D177" s="6"/>
      <c r="E177" s="6"/>
      <c r="R177" s="6"/>
    </row>
    <row r="178" spans="4:18">
      <c r="D178" s="6"/>
      <c r="E178" s="6"/>
      <c r="R178" s="6"/>
    </row>
    <row r="179" spans="4:18">
      <c r="D179" s="6"/>
      <c r="E179" s="6"/>
      <c r="R179" s="6"/>
    </row>
    <row r="180" spans="4:18">
      <c r="D180" s="6"/>
      <c r="E180" s="6"/>
      <c r="R180" s="6"/>
    </row>
    <row r="181" spans="4:18">
      <c r="D181" s="6"/>
      <c r="E181" s="6"/>
      <c r="R181" s="6"/>
    </row>
    <row r="182" spans="4:18">
      <c r="D182" s="6"/>
      <c r="E182" s="6"/>
      <c r="R182" s="6"/>
    </row>
    <row r="183" spans="4:18">
      <c r="D183" s="6"/>
      <c r="E183" s="6"/>
      <c r="R183" s="6"/>
    </row>
    <row r="184" spans="4:18">
      <c r="D184" s="6"/>
      <c r="E184" s="6"/>
      <c r="R184" s="6"/>
    </row>
    <row r="185" spans="4:18">
      <c r="D185" s="6"/>
      <c r="E185" s="6"/>
      <c r="R185" s="6"/>
    </row>
    <row r="186" spans="4:18">
      <c r="D186" s="6"/>
      <c r="E186" s="6"/>
      <c r="R186" s="6"/>
    </row>
    <row r="187" spans="4:18">
      <c r="D187" s="6"/>
      <c r="E187" s="6"/>
      <c r="R187" s="6"/>
    </row>
    <row r="188" spans="4:18">
      <c r="D188" s="6"/>
      <c r="E188" s="6"/>
      <c r="R188" s="6"/>
    </row>
    <row r="189" spans="4:18">
      <c r="D189" s="6"/>
      <c r="E189" s="6"/>
      <c r="R189" s="6"/>
    </row>
    <row r="190" spans="4:18">
      <c r="D190" s="6"/>
      <c r="E190" s="6"/>
      <c r="R190" s="6"/>
    </row>
    <row r="191" spans="4:18">
      <c r="D191" s="6"/>
      <c r="E191" s="6"/>
      <c r="R191" s="6"/>
    </row>
    <row r="192" spans="4:18">
      <c r="D192" s="6"/>
      <c r="E192" s="6"/>
      <c r="R192" s="6"/>
    </row>
    <row r="193" spans="4:18">
      <c r="D193" s="6"/>
      <c r="E193" s="6"/>
      <c r="R193" s="6"/>
    </row>
    <row r="194" spans="4:18">
      <c r="D194" s="6"/>
      <c r="E194" s="6"/>
      <c r="R194" s="6"/>
    </row>
    <row r="195" spans="4:18">
      <c r="D195" s="6"/>
      <c r="E195" s="6"/>
      <c r="R195" s="6"/>
    </row>
    <row r="196" spans="4:18">
      <c r="D196" s="6"/>
      <c r="E196" s="6"/>
      <c r="R196" s="6"/>
    </row>
    <row r="197" spans="4:18">
      <c r="D197" s="6"/>
      <c r="E197" s="6"/>
      <c r="R197" s="6"/>
    </row>
    <row r="198" spans="4:18">
      <c r="D198" s="6"/>
      <c r="E198" s="6"/>
      <c r="R198" s="6"/>
    </row>
    <row r="199" spans="4:18">
      <c r="D199" s="6"/>
      <c r="E199" s="6"/>
      <c r="R199" s="6"/>
    </row>
    <row r="200" spans="4:18">
      <c r="D200" s="6"/>
      <c r="E200" s="6"/>
      <c r="R200" s="6"/>
    </row>
  </sheetData>
  <conditionalFormatting sqref="U2:U200">
    <cfRule type="expression" dxfId="5" priority="1">
      <formula>$U2="APPROVE"</formula>
    </cfRule>
    <cfRule type="expression" dxfId="4" priority="2">
      <formula>$U2="DEVELOP"</formula>
    </cfRule>
    <cfRule type="expression" dxfId="3" priority="3">
      <formula>$U2="DENY"</formula>
    </cfRule>
    <cfRule type="expression" dxfId="2" priority="4">
      <formula>$U2="INITIAL_ENROLLMENT_REQUIRED"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100-000000000000}">
          <x14:formula1>
            <xm:f>Lists!$A$2:$A$6</xm:f>
          </x14:formula1>
          <xm:sqref>U2:U200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tabSelected="1" workbookViewId="0">
      <selection activeCell="B2" sqref="B2"/>
    </sheetView>
  </sheetViews>
  <sheetFormatPr defaultRowHeight="14.1"/>
  <cols>
    <col min="1" max="1" width="11.375" customWidth="1"/>
    <col min="2" max="3" width="55" customWidth="1"/>
    <col min="4" max="5" width="28" customWidth="1"/>
  </cols>
  <sheetData>
    <row r="1" spans="1:5" ht="27.95">
      <c r="A1" s="1" t="s">
        <v>1150</v>
      </c>
      <c r="B1" s="1" t="s">
        <v>1151</v>
      </c>
      <c r="C1" s="1" t="s">
        <v>1152</v>
      </c>
      <c r="D1" s="1" t="s">
        <v>1153</v>
      </c>
      <c r="E1" s="1" t="s">
        <v>1154</v>
      </c>
    </row>
    <row r="2" spans="1:5" ht="27.95">
      <c r="A2" s="2" t="s">
        <v>1155</v>
      </c>
      <c r="B2" s="2" t="s">
        <v>1156</v>
      </c>
      <c r="C2" s="2" t="s">
        <v>1157</v>
      </c>
      <c r="D2" s="2" t="s">
        <v>1158</v>
      </c>
      <c r="E2" s="2" t="s">
        <v>1159</v>
      </c>
    </row>
    <row r="3" spans="1:5" ht="27.95">
      <c r="A3" s="2" t="s">
        <v>1160</v>
      </c>
      <c r="B3" s="2" t="s">
        <v>1161</v>
      </c>
      <c r="C3" s="2" t="s">
        <v>1162</v>
      </c>
      <c r="D3" s="2" t="s">
        <v>1158</v>
      </c>
      <c r="E3" s="2" t="s">
        <v>1163</v>
      </c>
    </row>
    <row r="4" spans="1:5" ht="27.95">
      <c r="A4" s="2" t="s">
        <v>1164</v>
      </c>
      <c r="B4" s="2" t="s">
        <v>1165</v>
      </c>
      <c r="C4" s="2" t="s">
        <v>1166</v>
      </c>
      <c r="D4" s="2" t="s">
        <v>1167</v>
      </c>
      <c r="E4" s="2" t="s">
        <v>1168</v>
      </c>
    </row>
    <row r="5" spans="1:5" ht="42">
      <c r="A5" s="2" t="s">
        <v>1169</v>
      </c>
      <c r="B5" s="2" t="s">
        <v>1170</v>
      </c>
      <c r="C5" s="2" t="s">
        <v>1171</v>
      </c>
      <c r="D5" s="2" t="s">
        <v>876</v>
      </c>
      <c r="E5" s="2" t="s">
        <v>1172</v>
      </c>
    </row>
    <row r="6" spans="1:5" ht="27.95">
      <c r="A6" s="2" t="s">
        <v>1173</v>
      </c>
      <c r="B6" s="2" t="s">
        <v>1174</v>
      </c>
      <c r="C6" s="2" t="s">
        <v>1175</v>
      </c>
      <c r="D6" s="2" t="s">
        <v>907</v>
      </c>
      <c r="E6" s="2" t="s">
        <v>1176</v>
      </c>
    </row>
    <row r="7" spans="1:5" ht="27.95">
      <c r="A7" s="2" t="s">
        <v>1177</v>
      </c>
      <c r="B7" s="2" t="s">
        <v>1178</v>
      </c>
      <c r="C7" s="2" t="s">
        <v>1179</v>
      </c>
      <c r="D7" s="2" t="s">
        <v>888</v>
      </c>
      <c r="E7" s="2" t="s">
        <v>1180</v>
      </c>
    </row>
    <row r="8" spans="1:5" ht="27.95">
      <c r="A8" s="2" t="s">
        <v>1181</v>
      </c>
      <c r="B8" s="2" t="s">
        <v>1182</v>
      </c>
      <c r="C8" s="2" t="s">
        <v>1183</v>
      </c>
      <c r="D8" s="2" t="s">
        <v>925</v>
      </c>
      <c r="E8" s="2" t="s">
        <v>1180</v>
      </c>
    </row>
    <row r="9" spans="1:5" ht="27.95">
      <c r="A9" s="2" t="s">
        <v>1184</v>
      </c>
      <c r="B9" s="2" t="s">
        <v>1185</v>
      </c>
      <c r="C9" s="2" t="s">
        <v>1186</v>
      </c>
      <c r="D9" s="2" t="s">
        <v>1158</v>
      </c>
      <c r="E9" s="2" t="s">
        <v>1187</v>
      </c>
    </row>
    <row r="10" spans="1:5" ht="27.95">
      <c r="A10" s="2" t="s">
        <v>1188</v>
      </c>
      <c r="B10" s="2" t="s">
        <v>1189</v>
      </c>
      <c r="C10" s="2" t="s">
        <v>1190</v>
      </c>
      <c r="D10" s="2" t="s">
        <v>882</v>
      </c>
      <c r="E10" s="2" t="s">
        <v>1191</v>
      </c>
    </row>
    <row r="11" spans="1:5" ht="27.95">
      <c r="A11" s="2" t="s">
        <v>1192</v>
      </c>
      <c r="B11" s="2" t="s">
        <v>1193</v>
      </c>
      <c r="C11" s="2" t="s">
        <v>1194</v>
      </c>
      <c r="D11" s="2" t="s">
        <v>1158</v>
      </c>
      <c r="E11" s="2" t="s">
        <v>1195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workbookViewId="0">
      <selection activeCell="B5" sqref="B5:B8"/>
    </sheetView>
  </sheetViews>
  <sheetFormatPr defaultRowHeight="14.1"/>
  <cols>
    <col min="1" max="1" width="49" customWidth="1"/>
    <col min="2" max="2" width="74.125" customWidth="1"/>
    <col min="3" max="10" width="24" customWidth="1"/>
  </cols>
  <sheetData>
    <row r="1" spans="1:2" ht="18">
      <c r="A1" s="14" t="s">
        <v>1196</v>
      </c>
      <c r="B1" s="15"/>
    </row>
    <row r="2" spans="1:2">
      <c r="A2" s="3" t="s">
        <v>1197</v>
      </c>
      <c r="B2" t="s">
        <v>1198</v>
      </c>
    </row>
    <row r="3" spans="1:2">
      <c r="A3" s="3" t="s">
        <v>1199</v>
      </c>
      <c r="B3" s="4">
        <f>COUNTA(Existing_Provider_Contracts!A:A)-1</f>
        <v>80</v>
      </c>
    </row>
    <row r="4" spans="1:2">
      <c r="A4" s="3" t="s">
        <v>1200</v>
      </c>
      <c r="B4" s="4">
        <f>COUNTA(Requested_Contract_Changes!A:A)-1</f>
        <v>60</v>
      </c>
    </row>
    <row r="5" spans="1:2">
      <c r="A5" s="3" t="s">
        <v>1201</v>
      </c>
      <c r="B5" s="4">
        <f>COUNTIF(Requested_Contract_Changes!U:U,"APPROVE")</f>
        <v>49</v>
      </c>
    </row>
    <row r="6" spans="1:2">
      <c r="A6" s="3" t="s">
        <v>1202</v>
      </c>
      <c r="B6" s="4">
        <f>COUNTIF(Requested_Contract_Changes!U:U,"DEVELOP")</f>
        <v>6</v>
      </c>
    </row>
    <row r="7" spans="1:2">
      <c r="A7" s="3" t="s">
        <v>1203</v>
      </c>
      <c r="B7" s="4">
        <f>COUNTIF(Requested_Contract_Changes!U:U,"DENY")</f>
        <v>4</v>
      </c>
    </row>
    <row r="8" spans="1:2">
      <c r="A8" s="3" t="s">
        <v>1204</v>
      </c>
      <c r="B8" s="4">
        <f>COUNTIF(Requested_Contract_Changes!U:U,"INITIAL_ENROLLMENT_REQUIRED")</f>
        <v>1</v>
      </c>
    </row>
    <row r="9" spans="1:2">
      <c r="A9" s="3" t="s">
        <v>1205</v>
      </c>
      <c r="B9">
        <f>COUNTIF(Requested_Contract_Changes!U:U,"REJECT")</f>
        <v>0</v>
      </c>
    </row>
    <row r="10" spans="1:2">
      <c r="A10" s="3" t="s">
        <v>1206</v>
      </c>
      <c r="B10" t="s">
        <v>1207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6"/>
  <sheetViews>
    <sheetView workbookViewId="0"/>
  </sheetViews>
  <sheetFormatPr defaultRowHeight="14.1"/>
  <cols>
    <col min="1" max="1" width="27.125" customWidth="1"/>
  </cols>
  <sheetData>
    <row r="1" spans="1:1">
      <c r="A1" s="1" t="s">
        <v>849</v>
      </c>
    </row>
    <row r="2" spans="1:1">
      <c r="A2" t="s">
        <v>862</v>
      </c>
    </row>
    <row r="3" spans="1:1">
      <c r="A3" t="s">
        <v>974</v>
      </c>
    </row>
    <row r="4" spans="1:1">
      <c r="A4" t="s">
        <v>911</v>
      </c>
    </row>
    <row r="5" spans="1:1">
      <c r="A5" t="s">
        <v>1208</v>
      </c>
    </row>
    <row r="6" spans="1:1">
      <c r="A6" t="s">
        <v>1014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14b1cf45-d0fd-40cc-b8e6-8657154318b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Nikhil Bhadouriya</cp:lastModifiedBy>
  <cp:revision/>
  <dcterms:created xsi:type="dcterms:W3CDTF">2026-09-26T13:52:02Z</dcterms:created>
  <dcterms:modified xsi:type="dcterms:W3CDTF">2026-09-26T13:52:02Z</dcterms:modified>
  <cp:category/>
  <cp:contentStatus/>
</cp:coreProperties>
</file>